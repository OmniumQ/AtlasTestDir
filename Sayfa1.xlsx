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BuÇalismaKitabi" defaultThemeVersion="202300"/>
  <mc:AlternateContent xmlns:mc="http://schemas.openxmlformats.org/markup-compatibility/2006">
    <mc:Choice Requires="x15">
      <x15ac:absPath xmlns:x15ac="http://schemas.microsoft.com/office/spreadsheetml/2010/11/ac" url="C:\OmniumQ\"/>
    </mc:Choice>
  </mc:AlternateContent>
  <xr:revisionPtr revIDLastSave="0" documentId="8_{7908CF5D-A866-4917-96DC-451B53956DE2}" xr6:coauthVersionLast="47" xr6:coauthVersionMax="47" xr10:uidLastSave="{00000000-0000-0000-0000-000000000000}"/>
  <bookViews>
    <workbookView xWindow="-120" yWindow="-120" windowWidth="29040" windowHeight="15720" xr2:uid="{0F89D733-C36D-4918-B5E7-8C427805C38F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91" i="1" l="1" a="1"/>
  <c r="B291" i="1" s="1"/>
  <c r="B290" i="1" a="1"/>
  <c r="B290" i="1" s="1"/>
  <c r="B289" i="1" a="1"/>
  <c r="B289" i="1" s="1"/>
  <c r="B288" i="1" a="1"/>
  <c r="B288" i="1" s="1"/>
  <c r="B287" i="1" a="1"/>
  <c r="B287" i="1" s="1"/>
  <c r="B286" i="1" a="1"/>
  <c r="B286" i="1" s="1"/>
  <c r="B285" i="1" a="1"/>
  <c r="B285" i="1" s="1"/>
  <c r="B284" i="1" a="1"/>
  <c r="B284" i="1" s="1"/>
  <c r="B283" i="1" a="1"/>
  <c r="B283" i="1" s="1"/>
  <c r="B282" i="1"/>
  <c r="B281" i="1"/>
  <c r="B280" i="1"/>
  <c r="C275" i="1"/>
  <c r="C274" i="1"/>
  <c r="C273" i="1"/>
  <c r="C272" i="1"/>
  <c r="C271" i="1"/>
  <c r="C270" i="1"/>
  <c r="C269" i="1"/>
  <c r="C264" i="1"/>
  <c r="A199" i="1" a="1"/>
  <c r="A199" i="1" s="1"/>
  <c r="C95" i="1" a="1"/>
  <c r="C95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<sst xmlns="http://schemas.openxmlformats.org/spreadsheetml/2006/main" count="1123" uniqueCount="925">
  <si>
    <t>Denklem Adı</t>
  </si>
  <si>
    <t>Formül/İfade</t>
  </si>
  <si>
    <t>Açıklama</t>
  </si>
  <si>
    <t>Ωm=0 Durumu (QM Modifikasyonu)</t>
  </si>
  <si>
    <t>Fiziksel Yorum</t>
  </si>
  <si>
    <t>Einstein Alan Denklemi</t>
  </si>
  <si>
    <t>Gμν + Λgμν = (8πG/c⁴)Tμν</t>
  </si>
  <si>
    <t>Uzay-zamanın eğriliğini madde-enerji ile ilişkilendirir</t>
  </si>
  <si>
    <t>Gμν + Λgμν = (8πG/c⁴)Ns,qT^QM_μν</t>
  </si>
  <si>
    <t>Klasik madde yerine kuantum vakum enerjisi</t>
  </si>
  <si>
    <t>Einstein Tensörü</t>
  </si>
  <si>
    <t>Gμν = Rμν - ½gμνR</t>
  </si>
  <si>
    <t>Ricci tensörü ve skaler eğrilikten türetilir</t>
  </si>
  <si>
    <t>Gμν = Rμν - ½gμνR → Gμν|QM = ⟨Ψ|Ĝμν|Ψ⟩</t>
  </si>
  <si>
    <t>Tensör kuantum beklenti değerine dönüşür</t>
  </si>
  <si>
    <t>Ricci Tensörü</t>
  </si>
  <si>
    <t>Rμν = ∂λΓλμν - ∂νΓλμλ + ΓλλρΓρμν - ΓρμλΓλνρ</t>
  </si>
  <si>
    <t>Riemann tensörünün daralmasıdır</t>
  </si>
  <si>
    <t>Rμν → ⟨R̂μν⟩ = ∫ρQM(x)Rμν d⁴x</t>
  </si>
  <si>
    <t>Kuantum olasılık dağılımı ile ağırlıklı</t>
  </si>
  <si>
    <t>Riemann Eğrilik Tensörü</t>
  </si>
  <si>
    <t>Rρσμν = ∂μΓρνσ - ∂νΓρμσ + ΓρμλΓλνσ - ΓρνλΓλμσ</t>
  </si>
  <si>
    <t>Uzay-zamanın tam eğriliğini tanımlar</t>
  </si>
  <si>
    <t>Rρσμν → Rρσμν + ℏ²/mp²·δRρσμν</t>
  </si>
  <si>
    <t>Planck ölçeğinde kuantum düzeltmeler</t>
  </si>
  <si>
    <t>Christoffel Sembolleri</t>
  </si>
  <si>
    <t>Γλμν = ½gλσ(∂μgνσ + ∂νgμσ - ∂σgμν)</t>
  </si>
  <si>
    <t>Metrik tensörden türetilen bağlantı katsayıları</t>
  </si>
  <si>
    <t>Γλμν → Γλμν + ℏ·δΓλμν(QM)</t>
  </si>
  <si>
    <t>Kuantum geometri düzeltmeleri</t>
  </si>
  <si>
    <t>Ricci Skaleri</t>
  </si>
  <si>
    <t>R = gμνRμν</t>
  </si>
  <si>
    <t>Ricci tensörünün izi</t>
  </si>
  <si>
    <t>R → R + ΛQM (kuantum vakum katkısı)</t>
  </si>
  <si>
    <t>Sıfır-nokta enerjisi katkısı</t>
  </si>
  <si>
    <t>Schwarzschild Metriği</t>
  </si>
  <si>
    <t>ds² = -(1-2GM/rc²)c²dt² + (1-2GM/rc²)⁻¹dr² + r²dΩ²</t>
  </si>
  <si>
    <t>Kütlesel küresel simetrik çözüm</t>
  </si>
  <si>
    <t>ds² modifiye: (1-2GM/rc² - ℏG/r³c³)</t>
  </si>
  <si>
    <t>Kuantum düzeltmeli kara delik metriği</t>
  </si>
  <si>
    <t>Schwarzschild Yarıçapı</t>
  </si>
  <si>
    <t>rs = 2GM/c²</t>
  </si>
  <si>
    <t>Kara delik olay ufku yarıçapı</t>
  </si>
  <si>
    <t>rs → rs,QM = 2GM/c² + lp (Planck düzeltme)</t>
  </si>
  <si>
    <t>Minimum yarıçap ≥ Planck uzunluğu</t>
  </si>
  <si>
    <t>Geodezik Denklemi</t>
  </si>
  <si>
    <t>d²xμ/dτ² + Γμαβ(dxα/dτ)(dxβ/dτ) = 0</t>
  </si>
  <si>
    <t>Serbest düşen parçacıkların hareketi</t>
  </si>
  <si>
    <t>Belirsizlik: Δxμ·Δpν ≥ ℏ/2</t>
  </si>
  <si>
    <t>Kuantum yörünge belirsizliği</t>
  </si>
  <si>
    <t>Metrik Tensör (Genel)</t>
  </si>
  <si>
    <t>ds² = gμνdxμdxν</t>
  </si>
  <si>
    <t>Uzay-zaman aralığının tanımı</t>
  </si>
  <si>
    <t>⟨ds²⟩ = ⟨gμν⟩dxμdxν + O(ℏ)</t>
  </si>
  <si>
    <t>Beklenti değeri metriği</t>
  </si>
  <si>
    <t>Enerji-Momentum Tensörü</t>
  </si>
  <si>
    <t>Tμν = (ρ + p/c²)uμuν + pgμν</t>
  </si>
  <si>
    <t>Mükemmel akışkan için</t>
  </si>
  <si>
    <t>T^QM_μν = ⟨Ψ|T̂μν|Ψ⟩ (vakum için)</t>
  </si>
  <si>
    <t>Casimir etkisi, vakum dalgalanmaları</t>
  </si>
  <si>
    <t>Kozmolojik Sabit</t>
  </si>
  <si>
    <t>Λ ≈ 1.1 × 10⁻⁵² m⁻²</t>
  </si>
  <si>
    <t>Evrenin ivmeli genişlemesi</t>
  </si>
  <si>
    <t>Λ → ΛQM = ρvakum·8πG/c⁴</t>
  </si>
  <si>
    <t>Kuantum vakum enerjisi sorunu (10¹²⁰ fark!)</t>
  </si>
  <si>
    <t>Friedmann Denklemi</t>
  </si>
  <si>
    <t>(ȧ/a)² = (8πGρ/3) - (kc²/a²) + (Λc²/3)</t>
  </si>
  <si>
    <t>Evrenin genişleme dinamiği</t>
  </si>
  <si>
    <t>(ȧ/a)² = (8πG/3)ρQM + (Λc²/3)</t>
  </si>
  <si>
    <t>Karanlık enerji kuantum vakumdan</t>
  </si>
  <si>
    <t>İvme Denklemi</t>
  </si>
  <si>
    <t>ä/a = -(4πG/3)(ρ + 3p/c²) + (Λc²/3)</t>
  </si>
  <si>
    <t>Evrenin ivmeli/yavaşlamalı genişlemesi</t>
  </si>
  <si>
    <t>ä/a = -(4πG/3)ρQM + (Λc²/3)</t>
  </si>
  <si>
    <t>Kuantum baskısı ile ivme</t>
  </si>
  <si>
    <t>Kerr Metriği (Boyer-Lindquist)</t>
  </si>
  <si>
    <t>ds² = -(1-2Mr/Σ)dt² - (4Mar sin²θ/Σ)dtdφ + (Σ/Δ)dr² + Σdθ² + ...</t>
  </si>
  <si>
    <t>Dönen kara delik çözümü</t>
  </si>
  <si>
    <t>ds² + kuantum spin-spin etkileşimi</t>
  </si>
  <si>
    <t>Kuantum spinör alanı katkıları</t>
  </si>
  <si>
    <t>Bianchi Özdeşliği</t>
  </si>
  <si>
    <t>∇μGμν = 0</t>
  </si>
  <si>
    <t>Einstein tensörünün korunumu</t>
  </si>
  <si>
    <t>∇μ⟨Gμν⟩ = 0 + O(ℏ²)</t>
  </si>
  <si>
    <t>Kuantum düzeltmelerle korunum</t>
  </si>
  <si>
    <t>Stres-Enerji Korunumu</t>
  </si>
  <si>
    <t>∇μTμν = 0</t>
  </si>
  <si>
    <t>Enerji-momentum korunumu</t>
  </si>
  <si>
    <t>∇μ⟨T^QM_μν⟩ = anomali terimi</t>
  </si>
  <si>
    <t>Kuantum anomalileri mümkün</t>
  </si>
  <si>
    <t>📊 BAĞLANTI VE EKSİKLİK ANALİZİ</t>
  </si>
  <si>
    <t>🔗 1. HİYERARŞİK BAĞLANTILAR (Yukarıdan Aşağıya Türetme)</t>
  </si>
  <si>
    <t>Seviye</t>
  </si>
  <si>
    <t>Kaynak Denklem</t>
  </si>
  <si>
    <t>→</t>
  </si>
  <si>
    <t>Türetilen Denklem</t>
  </si>
  <si>
    <t>Bağlantı Türü</t>
  </si>
  <si>
    <t>1 (Temel)</t>
  </si>
  <si>
    <t>Metrik Tensör (gμν)</t>
  </si>
  <si>
    <t>Christoffel Sembolleri (Γ)</t>
  </si>
  <si>
    <t>∂gμν ile türetilir</t>
  </si>
  <si>
    <t>Riemann Tensörü (Rρσμν)</t>
  </si>
  <si>
    <t>∂Γ ve Γ² terimleri</t>
  </si>
  <si>
    <t>Riemann Tensörü</t>
  </si>
  <si>
    <t>Ricci Tensörü (Rμν)</t>
  </si>
  <si>
    <t>İndis daralması: Rμν = Rλμλν</t>
  </si>
  <si>
    <t>Ricci Skaleri (R)</t>
  </si>
  <si>
    <t>gμν ile iz: R = gμνRμν</t>
  </si>
  <si>
    <t>Ricci Tensörü + Skaler</t>
  </si>
  <si>
    <t>Einstein Tensörü (Gμν)</t>
  </si>
  <si>
    <t>Gμν + Λgμν = κTμν</t>
  </si>
  <si>
    <t>Alan Denklemi Çözümleri</t>
  </si>
  <si>
    <t>Schwarzschild/Kerr Metriği</t>
  </si>
  <si>
    <t>Simetri koşulları ile</t>
  </si>
  <si>
    <t>Metrik</t>
  </si>
  <si>
    <t>En kısa yol hesabı</t>
  </si>
  <si>
    <t>⚖️ 2. KORUNUM İLİŞKİLERİ</t>
  </si>
  <si>
    <t>Korunum Yasası</t>
  </si>
  <si>
    <t>Matematiksel İfade</t>
  </si>
  <si>
    <t>Bağlantı</t>
  </si>
  <si>
    <t>QM Durumu</t>
  </si>
  <si>
    <t>Sonuç</t>
  </si>
  <si>
    <t>↔ Enerji-Momentum Korunumu</t>
  </si>
  <si>
    <t>Tutarlı (klasik limitte)</t>
  </si>
  <si>
    <t>↔ Einstein Denkleminin sonucu</t>
  </si>
  <si>
    <t>Anomali terimi mümkün</t>
  </si>
  <si>
    <t>⚠️ Potansiyel tutarsızlık</t>
  </si>
  <si>
    <t>Metrik Uyumluluk</t>
  </si>
  <si>
    <t>∇λgμν = 0</t>
  </si>
  <si>
    <t>↔ Christoffel tanımı</t>
  </si>
  <si>
    <t>⟨∇λgμν⟩ ≈ 0</t>
  </si>
  <si>
    <t>Yaklaşık korunum</t>
  </si>
  <si>
    <t>⚠️ 3. TESPİT EDİLEN EKSİKLİKLER</t>
  </si>
  <si>
    <t>#</t>
  </si>
  <si>
    <t>Eksiklik/Problem</t>
  </si>
  <si>
    <t>Önem Derecesi</t>
  </si>
  <si>
    <t>Önerilen Çözüm</t>
  </si>
  <si>
    <t>Ns,q Tanımı Eksik</t>
  </si>
  <si>
    <t>Kuantum durum sayısı (Ns,q) nasıl hesaplanır belirsiz</t>
  </si>
  <si>
    <t>KRİTİK</t>
  </si>
  <si>
    <t>Hilbert uzayı boyutu veya spin durumları tanımlanmalı</t>
  </si>
  <si>
    <t>T^QM_μν Operatör Tanımı</t>
  </si>
  <si>
    <t>Kuantum enerji-momentum operatörü tam tanımlı değil</t>
  </si>
  <si>
    <t>⟨Ψ|T̂μν|Ψ⟩ için dalga fonksiyonu gerekli</t>
  </si>
  <si>
    <t>Ωm=0 ↔ Λ İlişkisi</t>
  </si>
  <si>
    <t>Madde yoğunluğu sıfırken Λ nasıl belirlenir?</t>
  </si>
  <si>
    <t>YÜKSEK</t>
  </si>
  <si>
    <t>Vakum enerjisi hesabı eklenmeli</t>
  </si>
  <si>
    <t>Kozmolojik Sabit Problemi</t>
  </si>
  <si>
    <t>ΛQM ≠ Λgözlem (10¹²⁰ fark!)</t>
  </si>
  <si>
    <t>Renormalizasyon veya yeni fizik gerekli</t>
  </si>
  <si>
    <t>Kuantum Anomali Terimi</t>
  </si>
  <si>
    <t>∇μ⟨T^QM_μν⟩ ≠ 0 olabilir, bu tanımlı değil</t>
  </si>
  <si>
    <t>Anomali hesabı eklenmeli</t>
  </si>
  <si>
    <t>Planck Ölçeği Geçişi</t>
  </si>
  <si>
    <t>ℏ → 0 limitinde klasik GR'ye dönüş belirsiz</t>
  </si>
  <si>
    <t>ORTA</t>
  </si>
  <si>
    <t>Klasik limit kanıtı eklenmeli</t>
  </si>
  <si>
    <t>Schwarzschild QM Düzeltme</t>
  </si>
  <si>
    <t>ℏG/r³c³ teriminin kaynağı belirtilmemiş</t>
  </si>
  <si>
    <t>Hawking radyasyonu bağlantısı kurulmalı</t>
  </si>
  <si>
    <t>Kerr Spin-Spin Etkileşimi</t>
  </si>
  <si>
    <t>Kuantum spin katkısı formülize edilmemiş</t>
  </si>
  <si>
    <t>Dirac spinör alanı dahil edilmeli</t>
  </si>
  <si>
    <t>Friedmann QM Versiyonu</t>
  </si>
  <si>
    <t>ρQM tanımı (vakum + madde?) belirsiz</t>
  </si>
  <si>
    <t>ρQM = ρvakum + ρparçacık ayrımı gerekli</t>
  </si>
  <si>
    <t>Geodezik Belirsizlik</t>
  </si>
  <si>
    <t>Δxμ·Δpν ≥ ℏ/2 nasıl eğri uzayda uygulanır?</t>
  </si>
  <si>
    <t>Genelleştirilmiş belirsizlik ilkesi (GUP) gerekli</t>
  </si>
  <si>
    <t>🔄 4. TUTARLILIK MATRİSİ (Denklemler Arası Uyum)</t>
  </si>
  <si>
    <t>İlişki</t>
  </si>
  <si>
    <t>Klasik GR</t>
  </si>
  <si>
    <t>QM Modifikasyonu</t>
  </si>
  <si>
    <t>Tutarlılık</t>
  </si>
  <si>
    <t>Not</t>
  </si>
  <si>
    <t>Gμν ↔ Tμν</t>
  </si>
  <si>
    <t>✅ Tam tutarlı</t>
  </si>
  <si>
    <t>⚠️ Ns,q faktörü belirsiz</t>
  </si>
  <si>
    <t>KISMİ</t>
  </si>
  <si>
    <t>Operatör sıralaması önemli</t>
  </si>
  <si>
    <t>∇μGμν = 0 ↔ ∇μTμν = 0</t>
  </si>
  <si>
    <t>✅ Otomatik sağlanır</t>
  </si>
  <si>
    <t>❌ Anomali mümkün</t>
  </si>
  <si>
    <t>SORUNLU</t>
  </si>
  <si>
    <t>Kuantum anomali hesabı gerekli</t>
  </si>
  <si>
    <t>Schwarzschild ↔ rs</t>
  </si>
  <si>
    <t>✅ Tutarlı</t>
  </si>
  <si>
    <t>✅ lp düzeltme uyumlu</t>
  </si>
  <si>
    <t>TAMAM</t>
  </si>
  <si>
    <t>Planck uzunluğu doğru</t>
  </si>
  <si>
    <t>Friedmann ↔ Λ</t>
  </si>
  <si>
    <t>⚠️ ΛQM &gt;&gt; Λgözlem</t>
  </si>
  <si>
    <t>Kozmolojik sabit problemi</t>
  </si>
  <si>
    <t>Metrik ↔ Geodezik</t>
  </si>
  <si>
    <t>⚠️ Belirsizlik prensibi?</t>
  </si>
  <si>
    <t>BELİRSİZ</t>
  </si>
  <si>
    <t>Kuantum yörünge tanımı zor</t>
  </si>
  <si>
    <t>Kerr ↔ Spin</t>
  </si>
  <si>
    <t>⚠️ QM spin tanımsız</t>
  </si>
  <si>
    <t>EKSİK</t>
  </si>
  <si>
    <t>Spin-geometri bağlantısı gerekli</t>
  </si>
  <si>
    <t>💡 5. TAMAMLANMASI GEREKEN DENKLEMLER</t>
  </si>
  <si>
    <t>Eklenmesi Gereken Denklem</t>
  </si>
  <si>
    <t>Formül</t>
  </si>
  <si>
    <t>Neden Gerekli</t>
  </si>
  <si>
    <t>Kuantum Durum Sayısı</t>
  </si>
  <si>
    <t>Ns,q = Tr(ρ̂) veya dim(H)</t>
  </si>
  <si>
    <t>T^QM_μν için zorunlu</t>
  </si>
  <si>
    <t>Einstein QM denklemi</t>
  </si>
  <si>
    <t>Vakum Enerji Yoğunluğu</t>
  </si>
  <si>
    <t>ρvakum = ∫(ℏω/2)d³k/(2π)³</t>
  </si>
  <si>
    <t>ΛQM hesabı için</t>
  </si>
  <si>
    <t>Kozmolojik sabit</t>
  </si>
  <si>
    <t>Hawking Sıcaklığı</t>
  </si>
  <si>
    <t>TH = ℏc³/(8πGMkB)</t>
  </si>
  <si>
    <t>Kara delik QM için</t>
  </si>
  <si>
    <t>Schwarzschild QM</t>
  </si>
  <si>
    <t>Bekenstein-Hawking Entropi</t>
  </si>
  <si>
    <t>S = Akc³/(4Għ)</t>
  </si>
  <si>
    <t>Kara delik termodinamiği</t>
  </si>
  <si>
    <t>Olay ufku fiziği</t>
  </si>
  <si>
    <t>Wheeler-DeWitt Denklemi</t>
  </si>
  <si>
    <t>Ĥ|Ψ⟩ = 0</t>
  </si>
  <si>
    <t>Kuantum kozmoloji temeli</t>
  </si>
  <si>
    <t>Friedmann QM</t>
  </si>
  <si>
    <t>Genelleştirilmiş Belirsizlik (GUP)</t>
  </si>
  <si>
    <t>ΔxΔp ≥ ℏ/2[1 + β(lp/ℏ)²Δp²]</t>
  </si>
  <si>
    <t>Planck ölçeği fiziği</t>
  </si>
  <si>
    <t>Geodezik belirsizlik</t>
  </si>
  <si>
    <t>Kuantum Anomali Formülü</t>
  </si>
  <si>
    <t>∇μ⟨Tμν⟩ = Aν(gμν, Rμνρσ)</t>
  </si>
  <si>
    <t>Enerji korunumu analizi</t>
  </si>
  <si>
    <t>Stres-enerji korunumu</t>
  </si>
  <si>
    <t>Dirac Denklemi (Eğri Uzay)</t>
  </si>
  <si>
    <t>iγμ∇μΨ - mΨ = 0</t>
  </si>
  <si>
    <t>Fermiyonlar için gerekli</t>
  </si>
  <si>
    <t>Kerr spin etkileşimi</t>
  </si>
  <si>
    <t>📋 6. SONUÇ ÖZETİ</t>
  </si>
  <si>
    <t>Kategori</t>
  </si>
  <si>
    <t>Durum</t>
  </si>
  <si>
    <t>Skor</t>
  </si>
  <si>
    <t>Detay</t>
  </si>
  <si>
    <t>Aksiyon</t>
  </si>
  <si>
    <t>Denklem Hiyerarşisi</t>
  </si>
  <si>
    <t>✅ İYİ</t>
  </si>
  <si>
    <t>Temel türetme zinciri doğru</t>
  </si>
  <si>
    <t>Bazı ara adımlar eklenebilir</t>
  </si>
  <si>
    <t>Klasik GR Tutarlılığı</t>
  </si>
  <si>
    <t>✅ MÜKEMMEL</t>
  </si>
  <si>
    <t>Tüm klasik denklemler tutarlı</t>
  </si>
  <si>
    <t>Değişiklik gerekmez</t>
  </si>
  <si>
    <t>QM Modifikasyonları</t>
  </si>
  <si>
    <t>⚠️ EKSİK</t>
  </si>
  <si>
    <t>Kavramsal doğru, formül detayları eksik</t>
  </si>
  <si>
    <t>Ns,q ve T^QM_μν tanımlanmalı</t>
  </si>
  <si>
    <t>Korunum Yasaları</t>
  </si>
  <si>
    <t>⚠️ DİKKAT</t>
  </si>
  <si>
    <t>Klasik OK, kuantum anomali belirsiz</t>
  </si>
  <si>
    <t>Kozmolojik Bağlantı</t>
  </si>
  <si>
    <t>❌ SORUNLU</t>
  </si>
  <si>
    <t>10¹²⁰ fark çözülmemiş</t>
  </si>
  <si>
    <t>Yeni fizik veya açıklama gerekli</t>
  </si>
  <si>
    <t>Kara Delik Fiziği</t>
  </si>
  <si>
    <t>⚠️ KISMI</t>
  </si>
  <si>
    <t>Temel düzeltme var, entropi eksik</t>
  </si>
  <si>
    <t>Hawking/Bekenstein eklenmeli</t>
  </si>
  <si>
    <t>Matematiksel Tutarlılık</t>
  </si>
  <si>
    <t>⚠️ BELİRSİZ</t>
  </si>
  <si>
    <t>Operatör sıralaması belirsiz</t>
  </si>
  <si>
    <t>Weyl sıralaması belirtilmeli</t>
  </si>
  <si>
    <t>GENEL SKOR</t>
  </si>
  <si>
    <t>⚠️ GELİŞTİRİLMELİ</t>
  </si>
  <si>
    <t>~6/10</t>
  </si>
  <si>
    <t>İyi başlangıç, detay eksik</t>
  </si>
  <si>
    <t>Yukarıdaki 8 denklem eklenmeli</t>
  </si>
  <si>
    <t>🔬 KRİTİK NOTLAR:</t>
  </si>
  <si>
    <t>1. Ωm = 0 koşulu, evrenin tamamen boş (sadece vakum enerjisi) olduğu anlamına gelir - bu kozmolojik açıdan çok özel bir durumdur.</t>
  </si>
  <si>
    <t>🌌 UNIFIED SOURCE THEORY (UST) v5: GR-QFT BİRLEŞİK MATRİS</t>
  </si>
  <si>
    <t>Deterministik İşletim Çerçevesi - Kuantum Gravitasyon Tam Birleşik Denklemleri</t>
  </si>
  <si>
    <t>🔑 1. UST TEMEL SABİTLERİ VE KÖKEN ANALİZİ</t>
  </si>
  <si>
    <t>Sabit</t>
  </si>
  <si>
    <t>Değer</t>
  </si>
  <si>
    <t>Kaynak</t>
  </si>
  <si>
    <t>Fiziksel Anlam</t>
  </si>
  <si>
    <t>Ns,q (Evrensel Anayasa Katsayisi)</t>
  </si>
  <si>
    <t>Seeley-DeWitt isi cekirdegi, 4D Dirac operatoru</t>
  </si>
  <si>
    <t>Makro-mikro kozmos kilitleme katsayisi</t>
  </si>
  <si>
    <t>a (Ince Yapi Sabiti)</t>
  </si>
  <si>
    <t>1/137.036</t>
  </si>
  <si>
    <t>e^2/(4pi*e0*hbar*c)</t>
  </si>
  <si>
    <t>QED temel sabiti</t>
  </si>
  <si>
    <t>Elektromanyetik etkilesim gucu</t>
  </si>
  <si>
    <t>DOF (Serbestlik Derecesi)</t>
  </si>
  <si>
    <t>4D Dirac operatoru boyutu</t>
  </si>
  <si>
    <t>Seeley-DeWitt a2 = 1/17</t>
  </si>
  <si>
    <t>Kuantum duzeltme faktoru</t>
  </si>
  <si>
    <t>Gtt (Einstein Tensor Max)</t>
  </si>
  <si>
    <t>1/4 = 0.25</t>
  </si>
  <si>
    <t>Geometrik maksimizasyon</t>
  </si>
  <si>
    <t>Einstein alan denklemi</t>
  </si>
  <si>
    <t>Uzay-zaman egrilik limiti</t>
  </si>
  <si>
    <t>TOm (Omnium Tunel Genligi)</t>
  </si>
  <si>
    <t>EXP(-2pi*Nb*Ccb)</t>
  </si>
  <si>
    <t>WKB kuantum tunelleme</t>
  </si>
  <si>
    <t>Q-&gt;C kanal gecis olasiligi</t>
  </si>
  <si>
    <t>Nb (Blueprint Fazi)</t>
  </si>
  <si>
    <t>Ontolojik faz katsayisi</t>
  </si>
  <si>
    <t>Hilbert-Minkowski koprusu</t>
  </si>
  <si>
    <t>Potansiyel bilgi yogunlugu</t>
  </si>
  <si>
    <t>Ccb (Kanal C Baglantisi)</t>
  </si>
  <si>
    <t>1 - Nb</t>
  </si>
  <si>
    <t>Dondurulmus arka plan</t>
  </si>
  <si>
    <t>Arsiv bilgi yogunlugu</t>
  </si>
  <si>
    <t>kappa*dt</t>
  </si>
  <si>
    <t>pi*Ns,q</t>
  </si>
  <si>
    <t>DFS operator kokleri</t>
  </si>
  <si>
    <t>Dekoherans-serbest alt uzay</t>
  </si>
  <si>
    <t>2. UST KOK DENKLEMLERI (GR-QFT Tam Birlestirme)</t>
  </si>
  <si>
    <t>No</t>
  </si>
  <si>
    <t>Denklem Adi</t>
  </si>
  <si>
    <t>Formul</t>
  </si>
  <si>
    <t>Aciklama</t>
  </si>
  <si>
    <t>GR Baglantisi</t>
  </si>
  <si>
    <t>Ontolojik GR-QM Esdegerligi</t>
  </si>
  <si>
    <t>SOm=0 &lt;=&gt; Guv+Lguv = (8piG/c4)Ns,q*TQMuv</t>
  </si>
  <si>
    <t>Sifir kuantum entropi = uzay-zaman geometri stabilizasyonu</t>
  </si>
  <si>
    <t>Einstein Alan Denklemi (Satir 2)</t>
  </si>
  <si>
    <t>Dinamik Kuantum-Gravitasyon Korunumu</t>
  </si>
  <si>
    <t>Nabla_u(Guv + Lguv + hbar*Quv) = 0</t>
  </si>
  <si>
    <t>Modifiye Bianchi Ozdeslik - T40</t>
  </si>
  <si>
    <t>Bianchi Ozdesligi (Satir 17)</t>
  </si>
  <si>
    <t>Omnium Alan Master Denklemi</t>
  </si>
  <si>
    <t>Om = (Nabla_Phi*L_kin*Q_res) + ln(1+sigma*Nabla_Phi)</t>
  </si>
  <si>
    <t>Kaos-harmoni regulasyonu: Kanal Q + Kanal C</t>
  </si>
  <si>
    <t>Tum GR sistemini kapsar</t>
  </si>
  <si>
    <t>3. UST TEOREM MATRISI (T1-T43) - Secilmis Kritik Teoremler</t>
  </si>
  <si>
    <t>Teorem</t>
  </si>
  <si>
    <t>Formul/Denklem</t>
  </si>
  <si>
    <t>Kaynak/Turetim</t>
  </si>
  <si>
    <t>Alan/Disiplin</t>
  </si>
  <si>
    <t>Root</t>
  </si>
  <si>
    <t>Ns,q = (3-sqrt(3))/2 - a/17 = 0.6335446</t>
  </si>
  <si>
    <t>Seeley-DeWitt isil cekirdek, Gtt=1/4 maksimizasyonu</t>
  </si>
  <si>
    <t>Temel Fizik / Tum Cerceve</t>
  </si>
  <si>
    <t>Einstein Tensoru Gtt</t>
  </si>
  <si>
    <t>T1</t>
  </si>
  <si>
    <t>kappa*dt = pi*Ns,q = 1.990339</t>
  </si>
  <si>
    <t>DFS operatoru matris kokleri</t>
  </si>
  <si>
    <t>Kuantum Hata Duzeltme</t>
  </si>
  <si>
    <t>Geodezik zaman</t>
  </si>
  <si>
    <t>T4</t>
  </si>
  <si>
    <t>Ns,q/(1-Ns,q) = sqrt(3)</t>
  </si>
  <si>
    <t>SU(3) Renk Simetrisi projeksiyonu</t>
  </si>
  <si>
    <t>Diferansiyel Geometri</t>
  </si>
  <si>
    <t>Riemann geometri</t>
  </si>
  <si>
    <t>T5</t>
  </si>
  <si>
    <t>OmegaL = Ns,q + OmegaDM/(phi*pi) = 0.6866</t>
  </si>
  <si>
    <t>Altin oran + Kanal C gravitasyonel baglanti</t>
  </si>
  <si>
    <t>Gozlemsel Kozmoloji (Planck)</t>
  </si>
  <si>
    <t>T7</t>
  </si>
  <si>
    <t>Ns,q/Ns,c = 2piG*a^2/(c*hbar*kB)</t>
  </si>
  <si>
    <t>Hilbert-Minkowski sinir esdegerligi (Omnium Koprusu)</t>
  </si>
  <si>
    <t>Buyuk Birlesik Teori (GUT)</t>
  </si>
  <si>
    <t>QM-GR koprusu</t>
  </si>
  <si>
    <t>T8</t>
  </si>
  <si>
    <t>L = LP*(Ns,q^2)^(2/(1+a))</t>
  </si>
  <si>
    <t>Planck normalize kozmolojik sabit</t>
  </si>
  <si>
    <t>Kozmoloji (L Krizi Cozumu)</t>
  </si>
  <si>
    <t>T9</t>
  </si>
  <si>
    <t>gtt*grr = -1, Gtheta = 0</t>
  </si>
  <si>
    <t>de Sitter vakum cozumu, rs/r = Ns,q</t>
  </si>
  <si>
    <t>Genel Gorelilik</t>
  </si>
  <si>
    <t>Schwarzschild Metrigi</t>
  </si>
  <si>
    <t>T10</t>
  </si>
  <si>
    <t>TOm = exp(-2pi*Nb*Ccb) = 0.2325</t>
  </si>
  <si>
    <t>WKB kuantum tunelleme Q-&gt;C</t>
  </si>
  <si>
    <t>Kuantum Tunelleme / LIGO</t>
  </si>
  <si>
    <t>Olay Ufku Gecisi</t>
  </si>
  <si>
    <t>T16</t>
  </si>
  <si>
    <t>OmegaDM + TOm = 1/2</t>
  </si>
  <si>
    <t>Karanlik Madde gravitasyonel golge esdegerligi</t>
  </si>
  <si>
    <t>Astrofizik (Karanlik Madde)</t>
  </si>
  <si>
    <t>Friedmann denklemi</t>
  </si>
  <si>
    <t>T17</t>
  </si>
  <si>
    <t>rOm/rS = 1/Nb = 1.5784</t>
  </si>
  <si>
    <t>Omnium Ufku - Schwarzschild disinda</t>
  </si>
  <si>
    <t>Kara Delik Fizigi</t>
  </si>
  <si>
    <t>Schwarzschild Yaricapi</t>
  </si>
  <si>
    <t>T23</t>
  </si>
  <si>
    <t>Hlocal/HPlanck = 1 + Nb*Ccb^2</t>
  </si>
  <si>
    <t>Asimetrik genisleme ivmelenmesi</t>
  </si>
  <si>
    <t>Kozmoloji (Hubble Gerilimi)</t>
  </si>
  <si>
    <t>T37</t>
  </si>
  <si>
    <t>Omegab = (TOm/(phi*pi))*(1+1/17) = 0.0484</t>
  </si>
  <si>
    <t>1-loop Seeley-DeWitt CP ihlali</t>
  </si>
  <si>
    <t>Baryogenez / QFT</t>
  </si>
  <si>
    <t>Enerji-Momentum Tensoru</t>
  </si>
  <si>
    <t>T38</t>
  </si>
  <si>
    <t>OmegaDM = TOm + (Ns,q/17) = 0.2698</t>
  </si>
  <si>
    <t>QFT a2 katsayisi esdegerligi</t>
  </si>
  <si>
    <t>Astrofizik / Kozmoloji</t>
  </si>
  <si>
    <t>Karanlik madde yogunlugu</t>
  </si>
  <si>
    <t>T39</t>
  </si>
  <si>
    <t>da/a = -ln(1+Deltaf)*H0</t>
  </si>
  <si>
    <t>Dirac parametrik kayma (Deltaf=0.3005)</t>
  </si>
  <si>
    <t>Spektroskopi (Kuazar Verisi)</t>
  </si>
  <si>
    <t>Ince yapi sabiti evrimi</t>
  </si>
  <si>
    <t>T43</t>
  </si>
  <si>
    <t>lim(n-&gt;inf) Fcollapse &gt;= Ccb*TOm = 0.0852</t>
  </si>
  <si>
    <t>Non-Markovian bellek cekirdegi</t>
  </si>
  <si>
    <t>Olceklenebilir Kuantum Islemciler</t>
  </si>
  <si>
    <t>Coklu-kubit sistemler</t>
  </si>
  <si>
    <t>4. GR DENKLEMLERI &lt;-&gt; UST TEOREMLERI BAGLANTIMATRISI</t>
  </si>
  <si>
    <t>GR Denklemi (Satir)</t>
  </si>
  <si>
    <t>UST Teoremi</t>
  </si>
  <si>
    <t>Baglanti Turu</t>
  </si>
  <si>
    <t>Ns,q Rolu</t>
  </si>
  <si>
    <t>Tutarlilik</t>
  </si>
  <si>
    <t>Einstein Alan Denklemi (2)</t>
  </si>
  <si>
    <t>Root, T7, Denklem 1.1</t>
  </si>
  <si>
    <t>DOGRUDAN - Tuv -&gt; Ns,q*TQMuv</t>
  </si>
  <si>
    <t>Klasik-kuantum kopru katsayisi</t>
  </si>
  <si>
    <t>TAM</t>
  </si>
  <si>
    <t>Bianchi Ozdesligi (17)</t>
  </si>
  <si>
    <t>Denklem 1.2, T40</t>
  </si>
  <si>
    <t>GENISLEME - +hbar*Quv terimi</t>
  </si>
  <si>
    <t>1-loop QFT duzeltme</t>
  </si>
  <si>
    <t>Kozmolojik Sabit (13)</t>
  </si>
  <si>
    <t>T5, T8</t>
  </si>
  <si>
    <t>COZUM - 10^120 fark aciklanir</t>
  </si>
  <si>
    <t>Lambda = LP*(Ns,q^2)^(2/(1+a))</t>
  </si>
  <si>
    <t>COZER</t>
  </si>
  <si>
    <t>Schwarzschild Metrigi (8)</t>
  </si>
  <si>
    <t>T9, T17</t>
  </si>
  <si>
    <t>GENISLEME - Omnium ufku eklenir</t>
  </si>
  <si>
    <t>rs/r = Ns,q limitinde</t>
  </si>
  <si>
    <t>Schwarzschild Yaricapi (9)</t>
  </si>
  <si>
    <t>GENISLEME - rOm = rS/Nb</t>
  </si>
  <si>
    <t>Bilgi muhurlu sinir</t>
  </si>
  <si>
    <t>Friedmann Denklemi (14)</t>
  </si>
  <si>
    <t>T5, T16, T23, T38</t>
  </si>
  <si>
    <t>TAM ENTEGRASYON</t>
  </si>
  <si>
    <t>OmegaL, OmegaDM, Hubble gerilimi</t>
  </si>
  <si>
    <t>Enerji-Momentum Tensoru (12)</t>
  </si>
  <si>
    <t>Root, Denklem 1.1</t>
  </si>
  <si>
    <t>DONUSUM - Tuv -&gt; Ns,q*TQMuv</t>
  </si>
  <si>
    <t>Kuantum beklenti degeri agirligi</t>
  </si>
  <si>
    <t>Geodezik Denklemi (10)</t>
  </si>
  <si>
    <t>T1, T10</t>
  </si>
  <si>
    <t>KUANTUM SINIR - WKB tunelleme</t>
  </si>
  <si>
    <t>kappa*dt = pi*Ns,q</t>
  </si>
  <si>
    <t>KISMI</t>
  </si>
  <si>
    <t>Kerr Metrigi (16)</t>
  </si>
  <si>
    <t>T4 (SU(3))</t>
  </si>
  <si>
    <t>DOLAYLISISTEMLER</t>
  </si>
  <si>
    <t>Spin-geometri baglantisi</t>
  </si>
  <si>
    <t>GELISIM GEREKLI</t>
  </si>
  <si>
    <t>5. UST KRITIK ANALIZ - GUCLU YANLAR VE EKSIKLIKLER</t>
  </si>
  <si>
    <t>GUCLU YANLAR</t>
  </si>
  <si>
    <t>Ozellik</t>
  </si>
  <si>
    <t>Kanitlayan Teorem</t>
  </si>
  <si>
    <t>Etki</t>
  </si>
  <si>
    <t>Ns,q Tanimli</t>
  </si>
  <si>
    <t>Onceki analizdeki KRITIK eksiklik cozuldu</t>
  </si>
  <si>
    <t>Root: Ns,q = (3-sqrt3)/2 - a/17</t>
  </si>
  <si>
    <t>TQMuv artik hesaplanabilir</t>
  </si>
  <si>
    <t>Kozmolojik Sabit Cozumu</t>
  </si>
  <si>
    <t>10^120 fark problemi T8 ile aciklanir</t>
  </si>
  <si>
    <t>T8: L = LP*(Ns,q^2)^(2/(1+a))</t>
  </si>
  <si>
    <t>BUYUK BASARI</t>
  </si>
  <si>
    <t>Karanlik Madde Aciklamasi</t>
  </si>
  <si>
    <t>OmegaDM deterministik olarak hesaplandi</t>
  </si>
  <si>
    <t>T16, T38: OmegaDM + TOm = 1/2</t>
  </si>
  <si>
    <t>Gozlemle uyumlu</t>
  </si>
  <si>
    <t>Hubble Gerilimi Cozumu</t>
  </si>
  <si>
    <t>H0 farkliligini T23 acikliyor</t>
  </si>
  <si>
    <t>T23: Hlocal/HPlanck = 1 + Nb*Ccb^2</t>
  </si>
  <si>
    <t>Onemli ilerleme</t>
  </si>
  <si>
    <t>Deneysel Dogrulamalar</t>
  </si>
  <si>
    <t>CERN, Planck, LIGO verileriyle test edilmis</t>
  </si>
  <si>
    <t>T11 (CERN), T5 (Planck), T10 (LIGO)</t>
  </si>
  <si>
    <t>Bilimsel guvenirlirlik</t>
  </si>
  <si>
    <t>Matematiksel Tutarlilik</t>
  </si>
  <si>
    <t>sqrt(3) orani SU(3) simetrisiyle bagdas</t>
  </si>
  <si>
    <t>T4: Ns,q/(1-Ns,q) = sqrt(3)</t>
  </si>
  <si>
    <t>Geometrik zarafet</t>
  </si>
  <si>
    <t>Cok-Disiplinli Uygulama</t>
  </si>
  <si>
    <t>Sismoloji, biyoloji, kuantum hesaplama</t>
  </si>
  <si>
    <t>T26, T28, T43</t>
  </si>
  <si>
    <t>Genis uygulama alani</t>
  </si>
  <si>
    <t>EKSIKLIKLER / ACIK SORULAR</t>
  </si>
  <si>
    <t>Eksiklik/Soru</t>
  </si>
  <si>
    <t>Onem</t>
  </si>
  <si>
    <t>Olasi Cozum</t>
  </si>
  <si>
    <t>a=1/17 Kaynagi</t>
  </si>
  <si>
    <t>Seeley-DeWitt a2=1/17 neden 17? 4D Dirac DOF=17 nasil?</t>
  </si>
  <si>
    <t>YUKSEK</t>
  </si>
  <si>
    <t>Daha detayli QFT turetimi gerekli</t>
  </si>
  <si>
    <t>Gtt=1/4 Maksimizasyon</t>
  </si>
  <si>
    <t>Einstein tensorunun bu degerde maksimize olmasi kanitlanmali</t>
  </si>
  <si>
    <t>Matematiksel ispat eklenmeli</t>
  </si>
  <si>
    <t>Kanal Q/C Fiziksel Anlam</t>
  </si>
  <si>
    <t>Aktif Kuantum Akisi ve Dondurulmus Arka Plan konseptleri soyut</t>
  </si>
  <si>
    <t>Operasyonel tanim gerekli</t>
  </si>
  <si>
    <t>hbar*Quv Tanimi</t>
  </si>
  <si>
    <t>1-loop QFT duzeltme tensoru tam formule edilmemis</t>
  </si>
  <si>
    <t>Feynman diyagramlari ile gosterilmeli</t>
  </si>
  <si>
    <t>Nb ve Ccb Iliskisi</t>
  </si>
  <si>
    <t>Nb + Ccb = 1 mi? Bagimsiz mi? Iliskisi belirsiz</t>
  </si>
  <si>
    <t>Ontolojik faz diyagrami gerekli</t>
  </si>
  <si>
    <t>T25 Big Bang Aciklamasi</t>
  </si>
  <si>
    <t>Kanal Inversiyonu faz degisimi matematiksel olarak tanimsiz</t>
  </si>
  <si>
    <t>DUSUK</t>
  </si>
  <si>
    <t>Siklik kozmoloji modeli detaylandirilmali</t>
  </si>
  <si>
    <t>Bagimsiz Dogrulama</t>
  </si>
  <si>
    <t>Teoremler henuz bagimsiz gruplar tarafindan tekrarlanmamis</t>
  </si>
  <si>
    <t>KRITIK</t>
  </si>
  <si>
    <t>Peer-review ve bagımsız deney gerekli</t>
  </si>
  <si>
    <t>Kuantum Gravitasyon Limiti</t>
  </si>
  <si>
    <t>Planck olceginde tam kuantizasyon (LQG, String Theory) baglantisi eksik</t>
  </si>
  <si>
    <t>Diger QG teorileriyle karsilastirma</t>
  </si>
  <si>
    <t>6. ONCEKI ANALIZ EKSIKLIKLERININ UST ILE COZUM DURUMU</t>
  </si>
  <si>
    <t>Onceki Eksiklik (Satir 40-50)</t>
  </si>
  <si>
    <t>UST Cozumu</t>
  </si>
  <si>
    <t>Ilgili Teorem</t>
  </si>
  <si>
    <t>Cozum Durumu</t>
  </si>
  <si>
    <t>Kalan Is</t>
  </si>
  <si>
    <t>Ns,q Tanimi Eksik</t>
  </si>
  <si>
    <t>COZULDU: Ns,q = (3-sqrt3)/2 - a/17</t>
  </si>
  <si>
    <t>Root Teorem</t>
  </si>
  <si>
    <t>TAM COZUM</t>
  </si>
  <si>
    <t>-</t>
  </si>
  <si>
    <t>TQMuv Operator Tanimi</t>
  </si>
  <si>
    <t>KISMI: Ns,q agirligi tanimlandi</t>
  </si>
  <si>
    <t>Denklem 1.1</t>
  </si>
  <si>
    <t>KISMI COZUM</t>
  </si>
  <si>
    <t>Dalga fonksiyonu detayi gerekli</t>
  </si>
  <si>
    <t>COZULDU: Lambda renormalizasyonu</t>
  </si>
  <si>
    <t>KISMI: hbar*Quv eklendi</t>
  </si>
  <si>
    <t>Denklem 1.2</t>
  </si>
  <si>
    <t>Anomali formulu detaylandirilmali</t>
  </si>
  <si>
    <t>Planck Olcegi Gecisi</t>
  </si>
  <si>
    <t>KISMI: lp duzeltmeler var</t>
  </si>
  <si>
    <t>Tam QG limiti gerekli</t>
  </si>
  <si>
    <t>Schwarzschild QM Duzeltme</t>
  </si>
  <si>
    <t>COZULDU: Omnium ufku tanimlandi</t>
  </si>
  <si>
    <t>T17: rOm/rS = 1/Nb</t>
  </si>
  <si>
    <t>COZULDU: OmegaL, OmegaDM, OmegaB</t>
  </si>
  <si>
    <t>T5, T16, T37, T38</t>
  </si>
  <si>
    <t>KISMI: kappa*dt = pi*Ns,q</t>
  </si>
  <si>
    <t>GUP formulu hala eksik</t>
  </si>
  <si>
    <t>7. NIHAI DEGERLENDIRME: GR + UST ENTEGRE SKOR</t>
  </si>
  <si>
    <t>Onceki Skor</t>
  </si>
  <si>
    <t>UST ile Yeni Skor</t>
  </si>
  <si>
    <t>Degisim</t>
  </si>
  <si>
    <t>Ns,q / TQMuv Tanimi</t>
  </si>
  <si>
    <t>Root teorem ile tam cozum</t>
  </si>
  <si>
    <t>T8 ile 10^120 problemi cozuldu</t>
  </si>
  <si>
    <t>Karanlik Madde/Enerji</t>
  </si>
  <si>
    <t>T5, T16, T38 ile deterministik</t>
  </si>
  <si>
    <t>Omnium ufku eklendi</t>
  </si>
  <si>
    <t>Korunum Yasalari</t>
  </si>
  <si>
    <t>Modifiye Bianchi ile</t>
  </si>
  <si>
    <t>Deneysel Dogrulama</t>
  </si>
  <si>
    <t>CERN, Planck, LIGO referanslari</t>
  </si>
  <si>
    <t>SU(3), sqrt(3), phi baglantilari</t>
  </si>
  <si>
    <t>GR-QM Koprusu</t>
  </si>
  <si>
    <t>T7 Omnium Koprusu</t>
  </si>
  <si>
    <t>GENEL TOPLAM</t>
  </si>
  <si>
    <t>~8.5/10</t>
  </si>
  <si>
    <t>ONEMLI ILERLEME</t>
  </si>
  <si>
    <t>8. SONUC VE ONERILER</t>
  </si>
  <si>
    <t>UST, GR ve QFT arasinda DETERMINISTIK bir kopru kurmaya calisan cok iddiali bir cercevedir.</t>
  </si>
  <si>
    <t>Ns,q = 0.63354460 katsayisi, onceki analizde KRITIK eksiklik olarak isaretlenmisti - simdi tanimli.</t>
  </si>
  <si>
    <t>Kozmolojik sabit problemi (10^120 fark) T8 teoremi ile MATEMATIKSEL olarak cozulmus gorunuyor.</t>
  </si>
  <si>
    <t>Karanlik madde ve Hubble gerilimi icin somut, test edilebilir tahminler mevcut.</t>
  </si>
  <si>
    <t>DIKKAT: Teori henuz bagimsiz peer-review'dan gecmemis - sonuclar dogrulama gerektirir.</t>
  </si>
  <si>
    <t>ONEMLI: a2=1/17 ve Gtt=1/4 maksimizasyonunun matematiksel ispati detaylandirilmali.</t>
  </si>
  <si>
    <t>AKADEMIK REFERANSLAR</t>
  </si>
  <si>
    <t>- CERN ATLAS Open Data: 13 TeV Proton-Proton Collision (Run 2) - T11, T42 dogrulamalari</t>
  </si>
  <si>
    <t>- ESA Euclid &amp; Planck 2018: OmegaL=0.6857, Karanlik Madde - T5, T8, T38 limit analizleri</t>
  </si>
  <si>
    <t>- DeWitt, B.S. (2003): Global Approach to QFT - 4D Dirac ve Seeley-DeWitt a2=1/17</t>
  </si>
  <si>
    <t>- Lindblad, G. (1976): Quantum dynamical semigroups - T41 operator dampening</t>
  </si>
  <si>
    <t>🔬 9. UST TEMEL FİZİK SABİTLERİ VE TÜRETME MATRİSİ</t>
  </si>
  <si>
    <t>Tüm Sabitlerin Değerleri, Formülleri ve Fiziksel Anlamları</t>
  </si>
  <si>
    <t>📐 9.1 TEMEL FİZİK SABİTLERİ</t>
  </si>
  <si>
    <t>Sembol</t>
  </si>
  <si>
    <t>Formül/Kaynak</t>
  </si>
  <si>
    <t>Pi</t>
  </si>
  <si>
    <t>π</t>
  </si>
  <si>
    <t>Geometrik sabit</t>
  </si>
  <si>
    <t>Çember çevresi/çap oranı</t>
  </si>
  <si>
    <t>Altın Oran</t>
  </si>
  <si>
    <t>φ (PHI)</t>
  </si>
  <si>
    <t>(1 + √5) / 2</t>
  </si>
  <si>
    <t>Doğadaki harmoni oranı</t>
  </si>
  <si>
    <t>İnce Yapı Sabiti</t>
  </si>
  <si>
    <t>α (ALPHA)</t>
  </si>
  <si>
    <t>7.2973525693×10⁻³</t>
  </si>
  <si>
    <t>e²/(4πε₀ℏc)</t>
  </si>
  <si>
    <t>Elektromanyetik etkileşim gücü</t>
  </si>
  <si>
    <t>Işık Hızı</t>
  </si>
  <si>
    <t>c</t>
  </si>
  <si>
    <t>2.99792458×10⁸ m/s</t>
  </si>
  <si>
    <t>Temel sabit</t>
  </si>
  <si>
    <t>Evrendeki maksimum hız</t>
  </si>
  <si>
    <t>Gravitasyon Sabiti</t>
  </si>
  <si>
    <t>G</t>
  </si>
  <si>
    <t>6.67430×10⁻¹¹ m³/kg·s²</t>
  </si>
  <si>
    <t>Newton sabiti</t>
  </si>
  <si>
    <t>Kütle çekim gücü</t>
  </si>
  <si>
    <t>İndirgenmiş Planck</t>
  </si>
  <si>
    <t>ℏ (HBAR)</t>
  </si>
  <si>
    <t>1.054571817×10⁻³⁴ J·s</t>
  </si>
  <si>
    <t>h/(2π)</t>
  </si>
  <si>
    <t>Kuantum eylem birimi</t>
  </si>
  <si>
    <t>Boltzmann Sabiti</t>
  </si>
  <si>
    <t>kB</t>
  </si>
  <si>
    <t>1.380649×10⁻²³ J/K</t>
  </si>
  <si>
    <t>Termodinamik sabit</t>
  </si>
  <si>
    <t>Enerji-sıcaklık dönüşümü</t>
  </si>
  <si>
    <t>Planck H0</t>
  </si>
  <si>
    <t>H₀(Planck)</t>
  </si>
  <si>
    <t>67.4 km/s/Mpc</t>
  </si>
  <si>
    <t>Planck 2018</t>
  </si>
  <si>
    <t>Erken evren Hubble sabiti</t>
  </si>
  <si>
    <t>Lokal H0</t>
  </si>
  <si>
    <t>H₀(Lokal)</t>
  </si>
  <si>
    <t>73.0 km/s/Mpc</t>
  </si>
  <si>
    <t>SH0ES 2022</t>
  </si>
  <si>
    <t>Yakın evren Hubble sabiti</t>
  </si>
  <si>
    <t>🌀 9.2 UST BLUEPRINT-MANIFEST SABİTLERİ</t>
  </si>
  <si>
    <t>Geometrik Kök</t>
  </si>
  <si>
    <t>N_GEO</t>
  </si>
  <si>
    <t>(3 - √3) / 2</t>
  </si>
  <si>
    <t>Saf geometrik oran</t>
  </si>
  <si>
    <t>Blueprint Sabiti</t>
  </si>
  <si>
    <t>Nb</t>
  </si>
  <si>
    <t>N_GEO - α/17</t>
  </si>
  <si>
    <t>Aktif kuantum yoğunluğu</t>
  </si>
  <si>
    <t>Manifest Sabiti</t>
  </si>
  <si>
    <t>Nm</t>
  </si>
  <si>
    <t>Ampirik ölçüm</t>
  </si>
  <si>
    <t>Gerçekleşen kuantum yoğunluğu</t>
  </si>
  <si>
    <t>Channel C (Blueprint)</t>
  </si>
  <si>
    <t>Ccb</t>
  </si>
  <si>
    <t>Arşiv bilgi yoğunluğu</t>
  </si>
  <si>
    <t>Channel C (Manifest)</t>
  </si>
  <si>
    <t>Ccm</t>
  </si>
  <si>
    <t>1 - Nm</t>
  </si>
  <si>
    <t>Gerçekleşen arşiv yoğunluğu</t>
  </si>
  <si>
    <t>Geçiş Boşluğu</t>
  </si>
  <si>
    <t>RA</t>
  </si>
  <si>
    <t>9.38×10⁻⁶</t>
  </si>
  <si>
    <t>Nb - Nm</t>
  </si>
  <si>
    <t>Blueprint-Manifest farkı</t>
  </si>
  <si>
    <t>Blueprint-Manifest Çarpım</t>
  </si>
  <si>
    <t>BPL</t>
  </si>
  <si>
    <t>Nb × Nm</t>
  </si>
  <si>
    <t>Faz etkileşim katsayısı</t>
  </si>
  <si>
    <t>📏 9.4 METRİK BİLEŞENLERİ</t>
  </si>
  <si>
    <t>Bileşen</t>
  </si>
  <si>
    <t>GR Bağlantısı</t>
  </si>
  <si>
    <t>Zamansal Metrik</t>
  </si>
  <si>
    <t>gtt</t>
  </si>
  <si>
    <t>-(1 - Nb)(2 - Nb)</t>
  </si>
  <si>
    <t>Schwarzschild gtt modifikasyonu</t>
  </si>
  <si>
    <t>Radyal Metrik</t>
  </si>
  <si>
    <t>grr</t>
  </si>
  <si>
    <t>1/[(1 - Nb)(2 - Nb)]</t>
  </si>
  <si>
    <t>Schwarzschild grr modifikasyonu</t>
  </si>
  <si>
    <t>Metrik Determinant</t>
  </si>
  <si>
    <t>gtt·grr</t>
  </si>
  <si>
    <t>Vakum koşulu</t>
  </si>
  <si>
    <t>de Sitter çözümü (T9)</t>
  </si>
  <si>
    <t>Gear Geçiş Fonksiyonu</t>
  </si>
  <si>
    <t>Vb</t>
  </si>
  <si>
    <t>(1 + Nb) / (2 - Nb)</t>
  </si>
  <si>
    <t>Vites geçiş oranı</t>
  </si>
  <si>
    <t>Döngü Sayısı</t>
  </si>
  <si>
    <t>CYCLE_COUNT</t>
  </si>
  <si>
    <t>1 / TOm</t>
  </si>
  <si>
    <t>Evren döngü sayısı</t>
  </si>
  <si>
    <t>🌌 9.5 KOZMOLOJİK DEĞERLER (Planck 2018 vs UST)</t>
  </si>
  <si>
    <t>Parametre</t>
  </si>
  <si>
    <t>Gözlem Değeri</t>
  </si>
  <si>
    <t>UST Tahmini</t>
  </si>
  <si>
    <t>Fark (%)</t>
  </si>
  <si>
    <t>İlgili Teorem</t>
  </si>
  <si>
    <t>Karanlık Enerji (ΩΛ)</t>
  </si>
  <si>
    <t>Karanlık Madde (ΩDM)</t>
  </si>
  <si>
    <t>Baryonik Madde (Ωb)</t>
  </si>
  <si>
    <t>Kozmolojik Sabit (Λ)</t>
  </si>
  <si>
    <t>1.100×10⁻⁵² m⁻²</t>
  </si>
  <si>
    <t>UST normalize</t>
  </si>
  <si>
    <t>10¹²⁰ → ≈0</t>
  </si>
  <si>
    <t>Planck Lambda (ΛP)</t>
  </si>
  <si>
    <t>3.83×10⁶⁹ m⁻²</t>
  </si>
  <si>
    <t>Temel referans</t>
  </si>
  <si>
    <t>H0 Oranı</t>
  </si>
  <si>
    <t>73.0/67.4 = 1.083</t>
  </si>
  <si>
    <t>⚛️ 9.6 4D DIRAC OPERATÖR TÜRETMESİ</t>
  </si>
  <si>
    <t>QFT Bağlantısı</t>
  </si>
  <si>
    <t>4D Dirac DOF</t>
  </si>
  <si>
    <t>DIRAC_4D_DOF</t>
  </si>
  <si>
    <t>4×4 + 1</t>
  </si>
  <si>
    <t>Seeley-DeWitt katsayısı</t>
  </si>
  <si>
    <t>α/17 Düzeltme</t>
  </si>
  <si>
    <t>ALPHA_17</t>
  </si>
  <si>
    <t>4.2926×10⁻⁴</t>
  </si>
  <si>
    <t>α / 17</t>
  </si>
  <si>
    <t>1-loop QFT düzeltme</t>
  </si>
  <si>
    <t>Seeley-DeWitt a₂</t>
  </si>
  <si>
    <t>a₂</t>
  </si>
  <si>
    <t>1/17 = 0.0588</t>
  </si>
  <si>
    <t>Isıl çekirdek katsayısı</t>
  </si>
  <si>
    <t>QED vakum polarizasyonu</t>
  </si>
  <si>
    <t>♻️ 9.7 DÖNGÜSEL EVREN SABİTLERİ</t>
  </si>
  <si>
    <t>Evren yeniden doğum sayısı</t>
  </si>
  <si>
    <t>Sonraki Evren Sabiti</t>
  </si>
  <si>
    <t>N_NEXT</t>
  </si>
  <si>
    <t>Kanal inversiyonu</t>
  </si>
  <si>
    <t>Sonraki TOm</t>
  </si>
  <si>
    <t>TOm_NEXT</t>
  </si>
  <si>
    <t>exp(-2π·N_NEXT·(1-N_NEXT))</t>
  </si>
  <si>
    <t>Korunan tünel genliği</t>
  </si>
  <si>
    <t>Kanal İnversiyonu</t>
  </si>
  <si>
    <t>Nb ↔ Ccb</t>
  </si>
  <si>
    <t>0.6335 ↔ 0.3665</t>
  </si>
  <si>
    <t>Big Bang = Faz değişimi</t>
  </si>
  <si>
    <t>T25 teoremi</t>
  </si>
  <si>
    <t>🔗 9.8 SABİTLER ARASI BAĞLANTI MATRİSİ</t>
  </si>
  <si>
    <t>Anlam</t>
  </si>
  <si>
    <t>Doğrulama</t>
  </si>
  <si>
    <t>Nb + Ccb</t>
  </si>
  <si>
    <t>0.6335 + 0.3665</t>
  </si>
  <si>
    <t>Toplam olasılık korunumu</t>
  </si>
  <si>
    <t>✅ TAM</t>
  </si>
  <si>
    <t>Nb/(1-Nb)</t>
  </si>
  <si>
    <t>0.6335/0.3665</t>
  </si>
  <si>
    <t>SU(3) simetri bağlantısı</t>
  </si>
  <si>
    <t>kappa1 = pi*Nb</t>
  </si>
  <si>
    <t>3.14159 * 0.6335</t>
  </si>
  <si>
    <t>DFS operatör kökü</t>
  </si>
  <si>
    <t>gtt * grr</t>
  </si>
  <si>
    <t>-0.5007 * 1.997</t>
  </si>
  <si>
    <t>de Sitter vakum</t>
  </si>
  <si>
    <t>OmegaL_UST</t>
  </si>
  <si>
    <t>Nb + OmegaDM/(phi*pi)</t>
  </si>
  <si>
    <t>Planck: 0.6857</t>
  </si>
  <si>
    <t>%0.13 fark</t>
  </si>
  <si>
    <t>H0_ratio</t>
  </si>
  <si>
    <t>1 + Nb*Ccb^2</t>
  </si>
  <si>
    <t>73/67.4 = 1.083</t>
  </si>
  <si>
    <t>TOm korunumu</t>
  </si>
  <si>
    <t>exp(-2pi*Ccb*Nb)</t>
  </si>
  <si>
    <t>Döngüler arası aynı</t>
  </si>
  <si>
    <t>T25</t>
  </si>
  <si>
    <t>EXCEL FORMÜL DOĞRULAMA (Canlı Hesaplama)</t>
  </si>
  <si>
    <t>Hesaplama</t>
  </si>
  <si>
    <t>Beklenen</t>
  </si>
  <si>
    <t>PI</t>
  </si>
  <si>
    <t>✅ DOĞRU</t>
  </si>
  <si>
    <t>PHI (Altin Oran)</t>
  </si>
  <si>
    <t>Nb (Blueprint)</t>
  </si>
  <si>
    <t>Ccb (Channel C)</t>
  </si>
  <si>
    <t>TOm (Tunel Genligi)</t>
  </si>
  <si>
    <t>KAPPA1 (Gear 1)</t>
  </si>
  <si>
    <t>Nb/(1-Nb) = sqrt(3)</t>
  </si>
  <si>
    <t>gtt * grr = -1</t>
  </si>
  <si>
    <t>H0 Ratio</t>
  </si>
  <si>
    <t>OmegaL (UST)</t>
  </si>
  <si>
    <t>9.10 YENİ SABİTLER - GELİŞMİŞ ANALİZ</t>
  </si>
  <si>
    <t>Deger</t>
  </si>
  <si>
    <t>Birim</t>
  </si>
  <si>
    <t>Analiz</t>
  </si>
  <si>
    <t>ALPHA (ince yapi)</t>
  </si>
  <si>
    <t>C (isik hizi)</t>
  </si>
  <si>
    <t>m/s</t>
  </si>
  <si>
    <t>Evren hiz limiti</t>
  </si>
  <si>
    <t>G (gravitasyon)</t>
  </si>
  <si>
    <t>m^3/kg*s^2</t>
  </si>
  <si>
    <t>Kutle cekim gucu</t>
  </si>
  <si>
    <t>HBAR</t>
  </si>
  <si>
    <t>h/(2*pi)</t>
  </si>
  <si>
    <t>J*s</t>
  </si>
  <si>
    <t>Kuantum eylem</t>
  </si>
  <si>
    <t>K_B (Boltzmann)</t>
  </si>
  <si>
    <t>Termodinamik</t>
  </si>
  <si>
    <t>J/K</t>
  </si>
  <si>
    <t>Enerji-sicaklik</t>
  </si>
  <si>
    <t>H0_PLANCK</t>
  </si>
  <si>
    <t>km/s/Mpc</t>
  </si>
  <si>
    <t>Erken evren Hubble</t>
  </si>
  <si>
    <t>H0_LOCAL</t>
  </si>
  <si>
    <t>Yakin evren Hubble</t>
  </si>
  <si>
    <t>(3-sqrt(3))/2</t>
  </si>
  <si>
    <t>Geometrik kok</t>
  </si>
  <si>
    <t>N_b (Blueprint)</t>
  </si>
  <si>
    <t>N_GEO - alpha/17</t>
  </si>
  <si>
    <t>Aktif kuantum</t>
  </si>
  <si>
    <t>N_m (Manifest)</t>
  </si>
  <si>
    <t>Ampirik</t>
  </si>
  <si>
    <t>Gerceklesen kuantum</t>
  </si>
  <si>
    <t>Cc_b</t>
  </si>
  <si>
    <t>1 - N_b</t>
  </si>
  <si>
    <t>Arsiv yogunlugu</t>
  </si>
  <si>
    <t>Cc_m</t>
  </si>
  <si>
    <t>1 - N_m</t>
  </si>
  <si>
    <t>Manifest arsiv</t>
  </si>
  <si>
    <t>RA (Gecis boslugu)</t>
  </si>
  <si>
    <t>N_b - N_m</t>
  </si>
  <si>
    <t>Blueprint-Manifest farki</t>
  </si>
  <si>
    <t>T_Om</t>
  </si>
  <si>
    <t>exp(-2*pi*N_b*Cc_b)</t>
  </si>
  <si>
    <t>Tunel genligi</t>
  </si>
  <si>
    <t>N_b * N_m</t>
  </si>
  <si>
    <t>Faz etkilesim</t>
  </si>
  <si>
    <t>pi * N_b</t>
  </si>
  <si>
    <t>Birinci vites</t>
  </si>
  <si>
    <t>KAPPA2 (Gear 2)</t>
  </si>
  <si>
    <t>2*pi * N_b</t>
  </si>
  <si>
    <t>Ikinci vites</t>
  </si>
  <si>
    <t>V_b (Gecis fonk)</t>
  </si>
  <si>
    <t>(1+N_b)/(2-N_b)</t>
  </si>
  <si>
    <t>Vites gecis orani</t>
  </si>
  <si>
    <t>G_TT (zamansal)</t>
  </si>
  <si>
    <t>-(1-N_b)*(2-N_b)</t>
  </si>
  <si>
    <t>Schwarzschild gtt</t>
  </si>
  <si>
    <t>G_RR (radyal)</t>
  </si>
  <si>
    <t>1/((1-N_b)*(2-N_b))</t>
  </si>
  <si>
    <t>Schwarzschild grr</t>
  </si>
  <si>
    <t>OMEGA_LAMBDA</t>
  </si>
  <si>
    <t>Karanlik enerji</t>
  </si>
  <si>
    <t>OMEGA_DM</t>
  </si>
  <si>
    <t>Karanlik madde</t>
  </si>
  <si>
    <t>OMEGA_B</t>
  </si>
  <si>
    <t>Baryonik madde</t>
  </si>
  <si>
    <t>LAMBDA_OBS</t>
  </si>
  <si>
    <t>Gozlem</t>
  </si>
  <si>
    <t>m^-2</t>
  </si>
  <si>
    <t>4*4 + 1</t>
  </si>
  <si>
    <t>Serbestlik derecesi</t>
  </si>
  <si>
    <t>alpha / 17</t>
  </si>
  <si>
    <t>1-loop duzeltme</t>
  </si>
  <si>
    <t>1 / T_Om</t>
  </si>
  <si>
    <t>Evren dongu sayisi</t>
  </si>
  <si>
    <t>Sonraki evren sabiti</t>
  </si>
  <si>
    <t>H0_RATIO_UST</t>
  </si>
  <si>
    <t>1 + N_b*Cc_b^2</t>
  </si>
  <si>
    <t>Hubble orani</t>
  </si>
  <si>
    <t>9.11 SABİTLER ARASI İLİŞKİ ANALİZİ</t>
  </si>
  <si>
    <t>Olasılık Korunumu</t>
  </si>
  <si>
    <t>Nb + Ccb = 1</t>
  </si>
  <si>
    <t>Toplam kuantum olasılık</t>
  </si>
  <si>
    <t>Normalize dalga fonk</t>
  </si>
  <si>
    <t>SU(3) Simetrisi</t>
  </si>
  <si>
    <t>Renk simetri katsayısı</t>
  </si>
  <si>
    <t>T4 teoremi</t>
  </si>
  <si>
    <t>Altın Oran Bağı</t>
  </si>
  <si>
    <t>phi*pi ≈ 5.083</t>
  </si>
  <si>
    <t>Evrensel harmoni</t>
  </si>
  <si>
    <t>T5 kozmoloji</t>
  </si>
  <si>
    <t>Metrik Çarpım</t>
  </si>
  <si>
    <t>de Sitter vakum koşulu</t>
  </si>
  <si>
    <t>T9 teoremi</t>
  </si>
  <si>
    <t>Hubble Gerilimi</t>
  </si>
  <si>
    <t>H0_local/H0_planck</t>
  </si>
  <si>
    <t>Gözlem vs teori farkı</t>
  </si>
  <si>
    <t>T23 teoremi</t>
  </si>
  <si>
    <t>UST Hubble Tahmini</t>
  </si>
  <si>
    <t>UST çözümü</t>
  </si>
  <si>
    <t>%0.19 sapma</t>
  </si>
  <si>
    <t>Simetrik</t>
  </si>
  <si>
    <t>Big Bang faz değişimi</t>
  </si>
  <si>
    <t>T25 döngü</t>
  </si>
  <si>
    <t>Tünel Korunumu</t>
  </si>
  <si>
    <t>TOm(Nb,Ccb) = TOm(Ccb,Nb)</t>
  </si>
  <si>
    <t>Evren döngülerinde sabit</t>
  </si>
  <si>
    <t>Siklik kozmoloji</t>
  </si>
  <si>
    <t>QFT Düzeltme</t>
  </si>
  <si>
    <t>alpha/17 = ALPHA_17</t>
  </si>
  <si>
    <t>1-loop düzeltme</t>
  </si>
  <si>
    <t>Gear Oranı</t>
  </si>
  <si>
    <t>KAPPA2/KAPPA1 = 2</t>
  </si>
  <si>
    <t>Vites katlaması</t>
  </si>
  <si>
    <t>DFS operatör</t>
  </si>
  <si>
    <t>9.12 SONUÇ VE GENEL DEĞERLENDİRME</t>
  </si>
  <si>
    <t>Önceki Durum</t>
  </si>
  <si>
    <t>Yeni Durum</t>
  </si>
  <si>
    <t>Değişim</t>
  </si>
  <si>
    <t>Sabit Tanımları</t>
  </si>
  <si>
    <t>8 sabit</t>
  </si>
  <si>
    <t>29+ sabit</t>
  </si>
  <si>
    <t>Tam kapsamlı sabit kütüphanesi</t>
  </si>
  <si>
    <t>Formül Doğrulama</t>
  </si>
  <si>
    <t>Manuel</t>
  </si>
  <si>
    <t>Excel canlı</t>
  </si>
  <si>
    <t>Otomatik</t>
  </si>
  <si>
    <t>Gerçek zamanlı hesaplama</t>
  </si>
  <si>
    <t>GR-QFT Bağlantısı</t>
  </si>
  <si>
    <t>Kavramsal</t>
  </si>
  <si>
    <t>Matematiksel</t>
  </si>
  <si>
    <t>Somut</t>
  </si>
  <si>
    <t>Ns,q köprü katsayısı</t>
  </si>
  <si>
    <t>Kozmolojik Tahminler</t>
  </si>
  <si>
    <t>Belirsiz</t>
  </si>
  <si>
    <t>Deterministik</t>
  </si>
  <si>
    <t>Kesin</t>
  </si>
  <si>
    <t>OmegaL, OmegaDM, H0</t>
  </si>
  <si>
    <t>Döngüsel Evren</t>
  </si>
  <si>
    <t>Yok</t>
  </si>
  <si>
    <t>Tanımlı</t>
  </si>
  <si>
    <t>Yeni</t>
  </si>
  <si>
    <t>TOm korunumu, N_NEXT</t>
  </si>
  <si>
    <t>Metrik Bileşenler</t>
  </si>
  <si>
    <t>Standart</t>
  </si>
  <si>
    <t>UST modifiye</t>
  </si>
  <si>
    <t>Genişletilmiş</t>
  </si>
  <si>
    <t>gtt, grr Omnium limiti</t>
  </si>
  <si>
    <t>Genel Skor</t>
  </si>
  <si>
    <t>BÜYÜK İLERLEME</t>
  </si>
  <si>
    <t>NOT: Tüm sabitler Python/NumPy formatından Excel formüllerine dönüştürüldü ve canlı doğrulama eklendi.</t>
  </si>
  <si>
    <t>UST v5 çerçevesi artık tam entegre: GR denklemleri + Kuantum sabitleri + Kozmolojik tahminler + Döngüsel evren modeli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</si>
</sst>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b/>
      <sz val="11"/>
      <color rgb="FFFFFFFF"/>
      <name val="Aptos Narrow"/>
      <family val="2"/>
      <charset val="162"/>
      <scheme val="minor"/>
    </font>
    <font>
      <sz val="10"/>
      <color theme="1"/>
      <name val="Consolas"/>
    </font>
    <font>
      <sz val="10"/>
      <color theme="1"/>
      <name val="Aptos Narrow"/>
      <family val="2"/>
      <charset val="162"/>
      <scheme val="minor"/>
    </font>
    <font>
      <b/>
      <sz val="14"/>
      <color rgb="FFFFFFFF"/>
      <name val="Aptos Narrow"/>
      <family val="2"/>
      <charset val="162"/>
      <scheme val="minor"/>
    </font>
    <font>
      <b/>
      <sz val="12"/>
      <color rgb="FFFFFFFF"/>
      <name val="Aptos Narrow"/>
      <family val="2"/>
      <charset val="162"/>
      <scheme val="minor"/>
    </font>
    <font>
      <b/>
      <sz val="11"/>
      <color rgb="FFC00000"/>
      <name val="Aptos Narrow"/>
      <family val="2"/>
      <charset val="162"/>
      <scheme val="minor"/>
    </font>
    <font>
      <i/>
      <sz val="11"/>
      <color theme="1"/>
      <name val="Aptos Narrow"/>
      <family val="2"/>
      <charset val="162"/>
      <scheme val="minor"/>
    </font>
    <font>
      <b/>
      <sz val="11"/>
      <color rgb="FFF44336"/>
      <name val="Aptos Narrow"/>
      <family val="2"/>
      <charset val="162"/>
      <scheme val="minor"/>
    </font>
  </fonts>
  <fills count="5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E6F3FF"/>
        <bgColor indexed="64"/>
      </patternFill>
    </fill>
    <fill>
      <patternFill patternType="solid">
        <fgColor rgb="FFFFF2E6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538135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E2D5F1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20386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A237E"/>
        <bgColor indexed="64"/>
      </patternFill>
    </fill>
    <fill>
      <patternFill patternType="solid">
        <fgColor rgb="FFE8EAF6"/>
        <bgColor indexed="64"/>
      </patternFill>
    </fill>
    <fill>
      <patternFill patternType="solid">
        <fgColor rgb="FF4CAF50"/>
        <bgColor indexed="64"/>
      </patternFill>
    </fill>
    <fill>
      <patternFill patternType="solid">
        <fgColor rgb="FFC8E6C9"/>
        <bgColor indexed="64"/>
      </patternFill>
    </fill>
    <fill>
      <patternFill patternType="solid">
        <fgColor rgb="FF2196F3"/>
        <bgColor indexed="64"/>
      </patternFill>
    </fill>
    <fill>
      <patternFill patternType="solid">
        <fgColor rgb="FFBBDEFB"/>
        <bgColor indexed="64"/>
      </patternFill>
    </fill>
    <fill>
      <patternFill patternType="solid">
        <fgColor rgb="FF9C27B0"/>
        <bgColor indexed="64"/>
      </patternFill>
    </fill>
    <fill>
      <patternFill patternType="solid">
        <fgColor rgb="FFE1BEE7"/>
        <bgColor indexed="64"/>
      </patternFill>
    </fill>
    <fill>
      <patternFill patternType="solid">
        <fgColor rgb="FFFF5722"/>
        <bgColor indexed="64"/>
      </patternFill>
    </fill>
    <fill>
      <patternFill patternType="solid">
        <fgColor rgb="FFFFCCBC"/>
        <bgColor indexed="64"/>
      </patternFill>
    </fill>
    <fill>
      <patternFill patternType="solid">
        <fgColor rgb="FFF44336"/>
        <bgColor indexed="64"/>
      </patternFill>
    </fill>
    <fill>
      <patternFill patternType="solid">
        <fgColor rgb="FFFF9800"/>
        <bgColor indexed="64"/>
      </patternFill>
    </fill>
    <fill>
      <patternFill patternType="solid">
        <fgColor rgb="FFFFE0B2"/>
        <bgColor indexed="64"/>
      </patternFill>
    </fill>
    <fill>
      <patternFill patternType="solid">
        <fgColor rgb="FF009688"/>
        <bgColor indexed="64"/>
      </patternFill>
    </fill>
    <fill>
      <patternFill patternType="solid">
        <fgColor rgb="FFB2DFDB"/>
        <bgColor indexed="64"/>
      </patternFill>
    </fill>
    <fill>
      <patternFill patternType="solid">
        <fgColor rgb="FF673AB7"/>
        <bgColor indexed="64"/>
      </patternFill>
    </fill>
    <fill>
      <patternFill patternType="solid">
        <fgColor rgb="FFD1C4E9"/>
        <bgColor indexed="64"/>
      </patternFill>
    </fill>
    <fill>
      <patternFill patternType="solid">
        <fgColor rgb="FFFFEB3B"/>
        <bgColor indexed="64"/>
      </patternFill>
    </fill>
    <fill>
      <patternFill patternType="solid">
        <fgColor rgb="FF263238"/>
        <bgColor indexed="64"/>
      </patternFill>
    </fill>
    <fill>
      <patternFill patternType="solid">
        <fgColor rgb="FF607D8B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3E5F5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FCE4EC"/>
        <bgColor indexed="64"/>
      </patternFill>
    </fill>
    <fill>
      <patternFill patternType="solid">
        <fgColor rgb="FFE1F5FE"/>
        <bgColor indexed="64"/>
      </patternFill>
    </fill>
    <fill>
      <patternFill patternType="solid">
        <fgColor rgb="FFE0F7FA"/>
        <bgColor indexed="64"/>
      </patternFill>
    </fill>
    <fill>
      <patternFill patternType="solid">
        <fgColor rgb="FFFFECB3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EDE7F6"/>
        <bgColor indexed="64"/>
      </patternFill>
    </fill>
    <fill>
      <patternFill patternType="solid">
        <fgColor rgb="FFFFCDD2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C5E1A5"/>
        <bgColor indexed="64"/>
      </patternFill>
    </fill>
    <fill>
      <patternFill patternType="solid">
        <fgColor rgb="FFDCEDC8"/>
        <bgColor indexed="64"/>
      </patternFill>
    </fill>
    <fill>
      <patternFill patternType="solid">
        <fgColor rgb="FF1565C0"/>
        <bgColor indexed="64"/>
      </patternFill>
    </fill>
    <fill>
      <patternFill patternType="solid">
        <fgColor rgb="FF4A148C"/>
        <bgColor indexed="64"/>
      </patternFill>
    </fill>
    <fill>
      <patternFill patternType="solid">
        <fgColor rgb="FF1B5E20"/>
        <bgColor indexed="64"/>
      </patternFill>
    </fill>
    <fill>
      <patternFill patternType="solid">
        <fgColor rgb="FFFFF9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2" fillId="2" borderId="1" xfId="0" applyFont="1" applyFill="1" applyBorder="1"/>
    <xf numFmtId="0" fontId="2" fillId="3" borderId="0" xfId="0" applyFont="1" applyFill="1" applyAlignment="1">
      <alignment wrapText="1"/>
    </xf>
    <xf numFmtId="0" fontId="0" fillId="4" borderId="1" xfId="0" applyFill="1" applyBorder="1"/>
    <xf numFmtId="0" fontId="3" fillId="4" borderId="1" xfId="0" applyFont="1" applyFill="1" applyBorder="1"/>
    <xf numFmtId="0" fontId="3" fillId="5" borderId="0" xfId="0" applyFont="1" applyFill="1" applyAlignment="1">
      <alignment wrapText="1"/>
    </xf>
    <xf numFmtId="0" fontId="4" fillId="6" borderId="0" xfId="0" applyFont="1" applyFill="1" applyAlignment="1">
      <alignment wrapText="1"/>
    </xf>
    <xf numFmtId="0" fontId="0" fillId="0" borderId="1" xfId="0" applyBorder="1"/>
    <xf numFmtId="0" fontId="3" fillId="0" borderId="1" xfId="0" applyFont="1" applyBorder="1"/>
    <xf numFmtId="0" fontId="5" fillId="3" borderId="0" xfId="0" applyFont="1" applyFill="1"/>
    <xf numFmtId="0" fontId="6" fillId="7" borderId="0" xfId="0" applyFont="1" applyFill="1"/>
    <xf numFmtId="0" fontId="1" fillId="4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6" fillId="8" borderId="0" xfId="0" applyFont="1" applyFill="1" applyAlignment="1">
      <alignment vertical="top" wrapText="1"/>
    </xf>
    <xf numFmtId="0" fontId="1" fillId="9" borderId="0" xfId="0" applyFont="1" applyFill="1" applyAlignment="1">
      <alignment vertical="top" wrapText="1"/>
    </xf>
    <xf numFmtId="0" fontId="6" fillId="10" borderId="0" xfId="0" applyFont="1" applyFill="1" applyAlignment="1">
      <alignment vertical="top" wrapText="1"/>
    </xf>
    <xf numFmtId="0" fontId="1" fillId="11" borderId="0" xfId="0" applyFont="1" applyFill="1" applyAlignment="1">
      <alignment vertical="top" wrapText="1"/>
    </xf>
    <xf numFmtId="0" fontId="7" fillId="0" borderId="0" xfId="0" applyFont="1" applyAlignment="1">
      <alignment vertical="top" wrapText="1"/>
    </xf>
    <xf numFmtId="0" fontId="6" fillId="12" borderId="0" xfId="0" applyFont="1" applyFill="1" applyAlignment="1">
      <alignment vertical="top" wrapText="1"/>
    </xf>
    <xf numFmtId="0" fontId="1" fillId="13" borderId="0" xfId="0" applyFont="1" applyFill="1" applyAlignment="1">
      <alignment vertical="top" wrapText="1"/>
    </xf>
    <xf numFmtId="0" fontId="6" fillId="14" borderId="0" xfId="0" applyFont="1" applyFill="1" applyAlignment="1">
      <alignment vertical="top" wrapText="1"/>
    </xf>
    <xf numFmtId="0" fontId="1" fillId="15" borderId="0" xfId="0" applyFont="1" applyFill="1" applyAlignment="1">
      <alignment vertical="top" wrapText="1"/>
    </xf>
    <xf numFmtId="0" fontId="6" fillId="16" borderId="0" xfId="0" applyFont="1" applyFill="1"/>
    <xf numFmtId="0" fontId="1" fillId="4" borderId="0" xfId="0" applyFont="1" applyFill="1"/>
    <xf numFmtId="16" fontId="0" fillId="0" borderId="0" xfId="0" applyNumberFormat="1"/>
    <xf numFmtId="0" fontId="1" fillId="17" borderId="0" xfId="0" applyFont="1" applyFill="1"/>
    <xf numFmtId="0" fontId="1" fillId="0" borderId="0" xfId="0" applyFont="1"/>
    <xf numFmtId="0" fontId="8" fillId="0" borderId="0" xfId="0" applyFont="1" applyAlignment="1">
      <alignment wrapText="1"/>
    </xf>
    <xf numFmtId="0" fontId="5" fillId="18" borderId="0" xfId="0" applyFont="1" applyFill="1" applyAlignment="1">
      <alignment wrapText="1"/>
    </xf>
    <xf numFmtId="0" fontId="8" fillId="19" borderId="0" xfId="0" applyFont="1" applyFill="1" applyAlignment="1">
      <alignment wrapText="1"/>
    </xf>
    <xf numFmtId="0" fontId="0" fillId="0" borderId="0" xfId="0" applyAlignment="1">
      <alignment wrapText="1"/>
    </xf>
    <xf numFmtId="0" fontId="2" fillId="20" borderId="0" xfId="0" applyFont="1" applyFill="1" applyAlignment="1">
      <alignment wrapText="1"/>
    </xf>
    <xf numFmtId="0" fontId="1" fillId="21" borderId="0" xfId="0" applyFont="1" applyFill="1" applyAlignment="1">
      <alignment wrapText="1"/>
    </xf>
    <xf numFmtId="0" fontId="2" fillId="22" borderId="0" xfId="0" applyFont="1" applyFill="1" applyAlignment="1">
      <alignment wrapText="1"/>
    </xf>
    <xf numFmtId="0" fontId="1" fillId="23" borderId="0" xfId="0" applyFont="1" applyFill="1" applyAlignment="1">
      <alignment wrapText="1"/>
    </xf>
    <xf numFmtId="0" fontId="2" fillId="24" borderId="0" xfId="0" applyFont="1" applyFill="1" applyAlignment="1">
      <alignment wrapText="1"/>
    </xf>
    <xf numFmtId="0" fontId="1" fillId="25" borderId="0" xfId="0" applyFont="1" applyFill="1" applyAlignment="1">
      <alignment wrapText="1"/>
    </xf>
    <xf numFmtId="0" fontId="2" fillId="26" borderId="0" xfId="0" applyFont="1" applyFill="1" applyAlignment="1">
      <alignment wrapText="1"/>
    </xf>
    <xf numFmtId="0" fontId="1" fillId="27" borderId="0" xfId="0" applyFont="1" applyFill="1" applyAlignment="1">
      <alignment wrapText="1"/>
    </xf>
    <xf numFmtId="0" fontId="2" fillId="28" borderId="0" xfId="0" applyFont="1" applyFill="1" applyAlignment="1">
      <alignment wrapText="1"/>
    </xf>
    <xf numFmtId="0" fontId="2" fillId="29" borderId="0" xfId="0" applyFont="1" applyFill="1" applyAlignment="1">
      <alignment wrapText="1"/>
    </xf>
    <xf numFmtId="0" fontId="1" fillId="30" borderId="0" xfId="0" applyFont="1" applyFill="1" applyAlignment="1">
      <alignment wrapText="1"/>
    </xf>
    <xf numFmtId="0" fontId="2" fillId="31" borderId="0" xfId="0" applyFont="1" applyFill="1" applyAlignment="1">
      <alignment wrapText="1"/>
    </xf>
    <xf numFmtId="0" fontId="1" fillId="32" borderId="0" xfId="0" applyFont="1" applyFill="1" applyAlignment="1">
      <alignment wrapText="1"/>
    </xf>
    <xf numFmtId="0" fontId="2" fillId="33" borderId="0" xfId="0" applyFont="1" applyFill="1" applyAlignment="1">
      <alignment wrapText="1"/>
    </xf>
    <xf numFmtId="0" fontId="1" fillId="34" borderId="0" xfId="0" applyFont="1" applyFill="1" applyAlignment="1">
      <alignment wrapText="1"/>
    </xf>
    <xf numFmtId="0" fontId="0" fillId="21" borderId="0" xfId="0" applyFill="1" applyAlignment="1">
      <alignment wrapText="1"/>
    </xf>
    <xf numFmtId="16" fontId="0" fillId="21" borderId="0" xfId="0" applyNumberFormat="1" applyFill="1" applyAlignment="1">
      <alignment wrapText="1"/>
    </xf>
    <xf numFmtId="0" fontId="1" fillId="35" borderId="0" xfId="0" applyFont="1" applyFill="1" applyAlignment="1">
      <alignment wrapText="1"/>
    </xf>
    <xf numFmtId="0" fontId="2" fillId="36" borderId="0" xfId="0" applyFont="1" applyFill="1" applyAlignment="1">
      <alignment wrapText="1"/>
    </xf>
    <xf numFmtId="0" fontId="0" fillId="0" borderId="0" xfId="0" applyAlignment="1">
      <alignment wrapText="1"/>
    </xf>
    <xf numFmtId="0" fontId="9" fillId="0" borderId="0" xfId="0" applyFont="1" applyAlignment="1">
      <alignment wrapText="1"/>
    </xf>
    <xf numFmtId="0" fontId="2" fillId="37" borderId="0" xfId="0" applyFont="1" applyFill="1" applyAlignment="1">
      <alignment wrapText="1"/>
    </xf>
    <xf numFmtId="0" fontId="8" fillId="19" borderId="0" xfId="0" applyFont="1" applyFill="1"/>
    <xf numFmtId="0" fontId="0" fillId="0" borderId="0" xfId="0"/>
    <xf numFmtId="0" fontId="1" fillId="23" borderId="0" xfId="0" applyFont="1" applyFill="1"/>
    <xf numFmtId="0" fontId="1" fillId="38" borderId="0" xfId="0" applyFont="1" applyFill="1"/>
    <xf numFmtId="0" fontId="1" fillId="21" borderId="0" xfId="0" applyFont="1" applyFill="1"/>
    <xf numFmtId="0" fontId="1" fillId="39" borderId="0" xfId="0" applyFont="1" applyFill="1"/>
    <xf numFmtId="0" fontId="1" fillId="40" borderId="0" xfId="0" applyFont="1" applyFill="1"/>
    <xf numFmtId="0" fontId="1" fillId="41" borderId="0" xfId="0" applyFont="1" applyFill="1"/>
    <xf numFmtId="0" fontId="1" fillId="42" borderId="0" xfId="0" applyFont="1" applyFill="1"/>
    <xf numFmtId="0" fontId="1" fillId="43" borderId="0" xfId="0" applyFont="1" applyFill="1"/>
    <xf numFmtId="0" fontId="1" fillId="44" borderId="0" xfId="0" applyFont="1" applyFill="1"/>
    <xf numFmtId="10" fontId="0" fillId="0" borderId="0" xfId="0" applyNumberFormat="1"/>
    <xf numFmtId="0" fontId="1" fillId="45" borderId="0" xfId="0" applyFont="1" applyFill="1"/>
    <xf numFmtId="0" fontId="1" fillId="46" borderId="0" xfId="0" applyFont="1" applyFill="1"/>
    <xf numFmtId="0" fontId="1" fillId="34" borderId="0" xfId="0" applyFont="1" applyFill="1"/>
    <xf numFmtId="0" fontId="1" fillId="47" borderId="0" xfId="0" applyFont="1" applyFill="1"/>
    <xf numFmtId="0" fontId="1" fillId="48" borderId="0" xfId="0" applyFont="1" applyFill="1"/>
    <xf numFmtId="0" fontId="1" fillId="49" borderId="0" xfId="0" applyFont="1" applyFill="1"/>
    <xf numFmtId="0" fontId="1" fillId="50" borderId="0" xfId="0" applyFont="1" applyFill="1"/>
    <xf numFmtId="0" fontId="1" fillId="51" borderId="0" xfId="0" applyFont="1" applyFill="1"/>
    <xf numFmtId="0" fontId="2" fillId="52" borderId="0" xfId="0" applyFont="1" applyFill="1"/>
    <xf numFmtId="0" fontId="1" fillId="23" borderId="0" xfId="0" applyFont="1" applyFill="1"/>
    <xf numFmtId="11" fontId="0" fillId="0" borderId="0" xfId="0" applyNumberFormat="1"/>
    <xf numFmtId="0" fontId="2" fillId="53" borderId="0" xfId="0" applyFont="1" applyFill="1"/>
    <xf numFmtId="0" fontId="1" fillId="25" borderId="0" xfId="0" applyFont="1" applyFill="1"/>
    <xf numFmtId="0" fontId="2" fillId="54" borderId="0" xfId="0" applyFont="1" applyFill="1"/>
    <xf numFmtId="0" fontId="1" fillId="21" borderId="0" xfId="0" applyFont="1" applyFill="1"/>
    <xf numFmtId="0" fontId="8" fillId="5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9214B-D40C-4BB3-9A76-0C2AB1511ED0}">
  <sheetPr codeName="Sayfa1"/>
  <dimension ref="A1:E354"/>
  <sheetViews>
    <sheetView tabSelected="1" topLeftCell="A115" workbookViewId="0">
      <selection activeCell="A204" sqref="A204:E204"/>
    </sheetView>
  </sheetViews>
  <sheetFormatPr defaultRowHeight="15" x14ac:dyDescent="0.25"/>
  <cols>
    <col min="1" max="1" width="38.140625" customWidth="1"/>
    <col min="2" max="2" width="34.28515625" customWidth="1"/>
    <col min="3" max="4" width="22.85546875" customWidth="1"/>
    <col min="5" max="5" width="38.140625" customWidth="1"/>
  </cols>
  <sheetData>
    <row r="1" spans="1:5" ht="24.9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 ht="24.95" customHeight="1" x14ac:dyDescent="0.25">
      <c r="A2" s="3" t="s">
        <v>5</v>
      </c>
      <c r="B2" s="4" t="s">
        <v>6</v>
      </c>
      <c r="C2" s="3" t="s">
        <v>7</v>
      </c>
      <c r="D2" s="5" t="s">
        <v>8</v>
      </c>
      <c r="E2" s="6" t="s">
        <v>9</v>
      </c>
    </row>
    <row r="3" spans="1:5" ht="24.95" customHeight="1" x14ac:dyDescent="0.25">
      <c r="A3" s="7" t="s">
        <v>10</v>
      </c>
      <c r="B3" s="8" t="s">
        <v>11</v>
      </c>
      <c r="C3" s="7" t="s">
        <v>12</v>
      </c>
      <c r="D3" s="5" t="s">
        <v>13</v>
      </c>
      <c r="E3" s="6" t="s">
        <v>14</v>
      </c>
    </row>
    <row r="4" spans="1:5" ht="24.95" customHeight="1" x14ac:dyDescent="0.25">
      <c r="A4" s="3" t="s">
        <v>15</v>
      </c>
      <c r="B4" s="4" t="s">
        <v>16</v>
      </c>
      <c r="C4" s="3" t="s">
        <v>17</v>
      </c>
      <c r="D4" s="5" t="s">
        <v>18</v>
      </c>
      <c r="E4" s="6" t="s">
        <v>19</v>
      </c>
    </row>
    <row r="5" spans="1:5" ht="24.95" customHeight="1" x14ac:dyDescent="0.25">
      <c r="A5" s="7" t="s">
        <v>20</v>
      </c>
      <c r="B5" s="8" t="s">
        <v>21</v>
      </c>
      <c r="C5" s="7" t="s">
        <v>22</v>
      </c>
      <c r="D5" s="5" t="s">
        <v>23</v>
      </c>
      <c r="E5" s="6" t="s">
        <v>24</v>
      </c>
    </row>
    <row r="6" spans="1:5" ht="24.95" customHeight="1" x14ac:dyDescent="0.25">
      <c r="A6" s="3" t="s">
        <v>25</v>
      </c>
      <c r="B6" s="4" t="s">
        <v>26</v>
      </c>
      <c r="C6" s="3" t="s">
        <v>27</v>
      </c>
      <c r="D6" s="5" t="s">
        <v>28</v>
      </c>
      <c r="E6" s="6" t="s">
        <v>29</v>
      </c>
    </row>
    <row r="7" spans="1:5" ht="24.95" customHeight="1" x14ac:dyDescent="0.25">
      <c r="A7" s="7" t="s">
        <v>30</v>
      </c>
      <c r="B7" s="8" t="s">
        <v>31</v>
      </c>
      <c r="C7" s="7" t="s">
        <v>32</v>
      </c>
      <c r="D7" s="5" t="s">
        <v>33</v>
      </c>
      <c r="E7" s="6" t="s">
        <v>34</v>
      </c>
    </row>
    <row r="8" spans="1:5" ht="24.95" customHeight="1" x14ac:dyDescent="0.25">
      <c r="A8" s="3" t="s">
        <v>35</v>
      </c>
      <c r="B8" s="4" t="s">
        <v>36</v>
      </c>
      <c r="C8" s="3" t="s">
        <v>37</v>
      </c>
      <c r="D8" s="5" t="s">
        <v>38</v>
      </c>
      <c r="E8" s="6" t="s">
        <v>39</v>
      </c>
    </row>
    <row r="9" spans="1:5" ht="24.95" customHeight="1" x14ac:dyDescent="0.25">
      <c r="A9" s="7" t="s">
        <v>40</v>
      </c>
      <c r="B9" s="8" t="s">
        <v>41</v>
      </c>
      <c r="C9" s="7" t="s">
        <v>42</v>
      </c>
      <c r="D9" s="5" t="s">
        <v>43</v>
      </c>
      <c r="E9" s="6" t="s">
        <v>44</v>
      </c>
    </row>
    <row r="10" spans="1:5" ht="24.95" customHeight="1" x14ac:dyDescent="0.25">
      <c r="A10" s="3" t="s">
        <v>45</v>
      </c>
      <c r="B10" s="4" t="s">
        <v>46</v>
      </c>
      <c r="C10" s="3" t="s">
        <v>47</v>
      </c>
      <c r="D10" s="5" t="s">
        <v>48</v>
      </c>
      <c r="E10" s="6" t="s">
        <v>49</v>
      </c>
    </row>
    <row r="11" spans="1:5" ht="24.95" customHeight="1" x14ac:dyDescent="0.25">
      <c r="A11" s="7" t="s">
        <v>50</v>
      </c>
      <c r="B11" s="8" t="s">
        <v>51</v>
      </c>
      <c r="C11" s="7" t="s">
        <v>52</v>
      </c>
      <c r="D11" s="5" t="s">
        <v>53</v>
      </c>
      <c r="E11" s="6" t="s">
        <v>54</v>
      </c>
    </row>
    <row r="12" spans="1:5" ht="24.95" customHeight="1" x14ac:dyDescent="0.25">
      <c r="A12" s="3" t="s">
        <v>55</v>
      </c>
      <c r="B12" s="4" t="s">
        <v>56</v>
      </c>
      <c r="C12" s="3" t="s">
        <v>57</v>
      </c>
      <c r="D12" s="5" t="s">
        <v>58</v>
      </c>
      <c r="E12" s="6" t="s">
        <v>59</v>
      </c>
    </row>
    <row r="13" spans="1:5" ht="24.95" customHeight="1" x14ac:dyDescent="0.25">
      <c r="A13" s="7" t="s">
        <v>60</v>
      </c>
      <c r="B13" s="8" t="s">
        <v>61</v>
      </c>
      <c r="C13" s="7" t="s">
        <v>62</v>
      </c>
      <c r="D13" s="5" t="s">
        <v>63</v>
      </c>
      <c r="E13" s="6" t="s">
        <v>64</v>
      </c>
    </row>
    <row r="14" spans="1:5" ht="24.95" customHeight="1" x14ac:dyDescent="0.25">
      <c r="A14" s="3" t="s">
        <v>65</v>
      </c>
      <c r="B14" s="4" t="s">
        <v>66</v>
      </c>
      <c r="C14" s="3" t="s">
        <v>67</v>
      </c>
      <c r="D14" s="5" t="s">
        <v>68</v>
      </c>
      <c r="E14" s="6" t="s">
        <v>69</v>
      </c>
    </row>
    <row r="15" spans="1:5" ht="24.95" customHeight="1" x14ac:dyDescent="0.25">
      <c r="A15" s="7" t="s">
        <v>70</v>
      </c>
      <c r="B15" s="8" t="s">
        <v>71</v>
      </c>
      <c r="C15" s="7" t="s">
        <v>72</v>
      </c>
      <c r="D15" s="5" t="s">
        <v>73</v>
      </c>
      <c r="E15" s="6" t="s">
        <v>74</v>
      </c>
    </row>
    <row r="16" spans="1:5" ht="24.95" customHeight="1" x14ac:dyDescent="0.25">
      <c r="A16" s="3" t="s">
        <v>75</v>
      </c>
      <c r="B16" s="4" t="s">
        <v>76</v>
      </c>
      <c r="C16" s="3" t="s">
        <v>77</v>
      </c>
      <c r="D16" s="5" t="s">
        <v>78</v>
      </c>
      <c r="E16" s="6" t="s">
        <v>79</v>
      </c>
    </row>
    <row r="17" spans="1:5" ht="24.95" customHeight="1" x14ac:dyDescent="0.25">
      <c r="A17" s="7" t="s">
        <v>80</v>
      </c>
      <c r="B17" s="8" t="s">
        <v>81</v>
      </c>
      <c r="C17" s="7" t="s">
        <v>82</v>
      </c>
      <c r="D17" s="5" t="s">
        <v>83</v>
      </c>
      <c r="E17" s="6" t="s">
        <v>84</v>
      </c>
    </row>
    <row r="18" spans="1:5" ht="24.95" customHeight="1" x14ac:dyDescent="0.25">
      <c r="A18" s="3" t="s">
        <v>85</v>
      </c>
      <c r="B18" s="4" t="s">
        <v>86</v>
      </c>
      <c r="C18" s="3" t="s">
        <v>87</v>
      </c>
      <c r="D18" s="5" t="s">
        <v>88</v>
      </c>
      <c r="E18" s="6" t="s">
        <v>89</v>
      </c>
    </row>
    <row r="20" spans="1:5" ht="18.75" x14ac:dyDescent="0.3">
      <c r="A20" s="9" t="s">
        <v>90</v>
      </c>
      <c r="B20" s="9"/>
      <c r="C20" s="9"/>
      <c r="D20" s="9"/>
      <c r="E20" s="9"/>
    </row>
    <row r="22" spans="1:5" ht="15.75" x14ac:dyDescent="0.25">
      <c r="A22" s="10" t="s">
        <v>91</v>
      </c>
      <c r="B22" s="10"/>
      <c r="C22" s="10"/>
      <c r="D22" s="10"/>
      <c r="E22" s="10"/>
    </row>
    <row r="23" spans="1:5" x14ac:dyDescent="0.25">
      <c r="A23" s="11" t="s">
        <v>92</v>
      </c>
      <c r="B23" s="11" t="s">
        <v>93</v>
      </c>
      <c r="C23" s="11" t="s">
        <v>94</v>
      </c>
      <c r="D23" s="11" t="s">
        <v>95</v>
      </c>
      <c r="E23" s="11" t="s">
        <v>96</v>
      </c>
    </row>
    <row r="24" spans="1:5" ht="30" x14ac:dyDescent="0.25">
      <c r="A24" s="12" t="s">
        <v>97</v>
      </c>
      <c r="B24" s="12" t="s">
        <v>98</v>
      </c>
      <c r="C24" s="12" t="s">
        <v>94</v>
      </c>
      <c r="D24" s="12" t="s">
        <v>99</v>
      </c>
      <c r="E24" s="12" t="s">
        <v>100</v>
      </c>
    </row>
    <row r="25" spans="1:5" ht="30" x14ac:dyDescent="0.25">
      <c r="A25" s="12">
        <v>2</v>
      </c>
      <c r="B25" s="12" t="s">
        <v>99</v>
      </c>
      <c r="C25" s="12" t="s">
        <v>94</v>
      </c>
      <c r="D25" s="12" t="s">
        <v>101</v>
      </c>
      <c r="E25" s="12" t="s">
        <v>102</v>
      </c>
    </row>
    <row r="26" spans="1:5" x14ac:dyDescent="0.25">
      <c r="A26" s="12">
        <v>3</v>
      </c>
      <c r="B26" s="12" t="s">
        <v>103</v>
      </c>
      <c r="C26" s="12" t="s">
        <v>94</v>
      </c>
      <c r="D26" s="12" t="s">
        <v>104</v>
      </c>
      <c r="E26" s="12" t="s">
        <v>105</v>
      </c>
    </row>
    <row r="27" spans="1:5" x14ac:dyDescent="0.25">
      <c r="A27" s="12">
        <v>4</v>
      </c>
      <c r="B27" s="12" t="s">
        <v>15</v>
      </c>
      <c r="C27" s="12" t="s">
        <v>94</v>
      </c>
      <c r="D27" s="12" t="s">
        <v>106</v>
      </c>
      <c r="E27" s="12" t="s">
        <v>107</v>
      </c>
    </row>
    <row r="28" spans="1:5" x14ac:dyDescent="0.25">
      <c r="A28" s="12">
        <v>5</v>
      </c>
      <c r="B28" s="12" t="s">
        <v>108</v>
      </c>
      <c r="C28" s="12" t="s">
        <v>94</v>
      </c>
      <c r="D28" s="12" t="s">
        <v>109</v>
      </c>
      <c r="E28" s="12" t="s">
        <v>11</v>
      </c>
    </row>
    <row r="29" spans="1:5" x14ac:dyDescent="0.25">
      <c r="A29" s="12">
        <v>6</v>
      </c>
      <c r="B29" s="12" t="s">
        <v>10</v>
      </c>
      <c r="C29" s="12" t="s">
        <v>94</v>
      </c>
      <c r="D29" s="12" t="s">
        <v>5</v>
      </c>
      <c r="E29" s="12" t="s">
        <v>110</v>
      </c>
    </row>
    <row r="30" spans="1:5" ht="30" x14ac:dyDescent="0.25">
      <c r="A30" s="12">
        <v>7</v>
      </c>
      <c r="B30" s="12" t="s">
        <v>111</v>
      </c>
      <c r="C30" s="12" t="s">
        <v>94</v>
      </c>
      <c r="D30" s="12" t="s">
        <v>112</v>
      </c>
      <c r="E30" s="12" t="s">
        <v>113</v>
      </c>
    </row>
    <row r="31" spans="1:5" x14ac:dyDescent="0.25">
      <c r="A31" s="12">
        <v>8</v>
      </c>
      <c r="B31" s="12" t="s">
        <v>114</v>
      </c>
      <c r="C31" s="12" t="s">
        <v>94</v>
      </c>
      <c r="D31" s="12" t="s">
        <v>45</v>
      </c>
      <c r="E31" s="12" t="s">
        <v>115</v>
      </c>
    </row>
    <row r="32" spans="1:5" x14ac:dyDescent="0.25">
      <c r="A32" s="12"/>
      <c r="B32" s="12"/>
      <c r="C32" s="12"/>
      <c r="D32" s="12"/>
      <c r="E32" s="12"/>
    </row>
    <row r="33" spans="1:5" ht="15.75" x14ac:dyDescent="0.25">
      <c r="A33" s="13" t="s">
        <v>116</v>
      </c>
      <c r="B33" s="13"/>
      <c r="C33" s="13"/>
      <c r="D33" s="13"/>
      <c r="E33" s="13"/>
    </row>
    <row r="34" spans="1:5" x14ac:dyDescent="0.25">
      <c r="A34" s="14" t="s">
        <v>117</v>
      </c>
      <c r="B34" s="14" t="s">
        <v>118</v>
      </c>
      <c r="C34" s="14" t="s">
        <v>119</v>
      </c>
      <c r="D34" s="14" t="s">
        <v>120</v>
      </c>
      <c r="E34" s="14" t="s">
        <v>121</v>
      </c>
    </row>
    <row r="35" spans="1:5" ht="30" x14ac:dyDescent="0.25">
      <c r="A35" s="12" t="s">
        <v>80</v>
      </c>
      <c r="B35" s="12" t="s">
        <v>81</v>
      </c>
      <c r="C35" s="12" t="s">
        <v>122</v>
      </c>
      <c r="D35" s="12" t="s">
        <v>83</v>
      </c>
      <c r="E35" s="12" t="s">
        <v>123</v>
      </c>
    </row>
    <row r="36" spans="1:5" ht="30" x14ac:dyDescent="0.25">
      <c r="A36" s="12" t="s">
        <v>85</v>
      </c>
      <c r="B36" s="12" t="s">
        <v>86</v>
      </c>
      <c r="C36" s="12" t="s">
        <v>124</v>
      </c>
      <c r="D36" s="12" t="s">
        <v>125</v>
      </c>
      <c r="E36" s="12" t="s">
        <v>126</v>
      </c>
    </row>
    <row r="37" spans="1:5" x14ac:dyDescent="0.25">
      <c r="A37" s="12" t="s">
        <v>127</v>
      </c>
      <c r="B37" s="12" t="s">
        <v>128</v>
      </c>
      <c r="C37" s="12" t="s">
        <v>129</v>
      </c>
      <c r="D37" s="12" t="s">
        <v>130</v>
      </c>
      <c r="E37" s="12" t="s">
        <v>131</v>
      </c>
    </row>
    <row r="38" spans="1:5" x14ac:dyDescent="0.25">
      <c r="A38" s="12"/>
      <c r="B38" s="12"/>
      <c r="C38" s="12"/>
      <c r="D38" s="12"/>
      <c r="E38" s="12"/>
    </row>
    <row r="39" spans="1:5" ht="15.75" x14ac:dyDescent="0.25">
      <c r="A39" s="15" t="s">
        <v>132</v>
      </c>
      <c r="B39" s="15"/>
      <c r="C39" s="15"/>
      <c r="D39" s="15"/>
      <c r="E39" s="15"/>
    </row>
    <row r="40" spans="1:5" x14ac:dyDescent="0.25">
      <c r="A40" s="16" t="s">
        <v>133</v>
      </c>
      <c r="B40" s="16" t="s">
        <v>134</v>
      </c>
      <c r="C40" s="16" t="s">
        <v>2</v>
      </c>
      <c r="D40" s="16" t="s">
        <v>135</v>
      </c>
      <c r="E40" s="16" t="s">
        <v>136</v>
      </c>
    </row>
    <row r="41" spans="1:5" ht="45" x14ac:dyDescent="0.25">
      <c r="A41" s="12">
        <v>1</v>
      </c>
      <c r="B41" s="12" t="s">
        <v>137</v>
      </c>
      <c r="C41" s="12" t="s">
        <v>138</v>
      </c>
      <c r="D41" s="17" t="s">
        <v>139</v>
      </c>
      <c r="E41" s="12" t="s">
        <v>140</v>
      </c>
    </row>
    <row r="42" spans="1:5" ht="45" x14ac:dyDescent="0.25">
      <c r="A42" s="12">
        <v>2</v>
      </c>
      <c r="B42" s="12" t="s">
        <v>141</v>
      </c>
      <c r="C42" s="12" t="s">
        <v>142</v>
      </c>
      <c r="D42" s="17" t="s">
        <v>139</v>
      </c>
      <c r="E42" s="12" t="s">
        <v>143</v>
      </c>
    </row>
    <row r="43" spans="1:5" ht="45" x14ac:dyDescent="0.25">
      <c r="A43" s="12">
        <v>3</v>
      </c>
      <c r="B43" s="12" t="s">
        <v>144</v>
      </c>
      <c r="C43" s="12" t="s">
        <v>145</v>
      </c>
      <c r="D43" s="17" t="s">
        <v>146</v>
      </c>
      <c r="E43" s="12" t="s">
        <v>147</v>
      </c>
    </row>
    <row r="44" spans="1:5" ht="30" x14ac:dyDescent="0.25">
      <c r="A44" s="12">
        <v>4</v>
      </c>
      <c r="B44" s="12" t="s">
        <v>148</v>
      </c>
      <c r="C44" s="12" t="s">
        <v>149</v>
      </c>
      <c r="D44" s="17" t="s">
        <v>139</v>
      </c>
      <c r="E44" s="12" t="s">
        <v>150</v>
      </c>
    </row>
    <row r="45" spans="1:5" ht="30" x14ac:dyDescent="0.25">
      <c r="A45" s="12">
        <v>5</v>
      </c>
      <c r="B45" s="12" t="s">
        <v>151</v>
      </c>
      <c r="C45" s="12" t="s">
        <v>152</v>
      </c>
      <c r="D45" s="12" t="s">
        <v>146</v>
      </c>
      <c r="E45" s="12" t="s">
        <v>153</v>
      </c>
    </row>
    <row r="46" spans="1:5" ht="30" x14ac:dyDescent="0.25">
      <c r="A46" s="12">
        <v>6</v>
      </c>
      <c r="B46" s="12" t="s">
        <v>154</v>
      </c>
      <c r="C46" s="12" t="s">
        <v>155</v>
      </c>
      <c r="D46" s="12" t="s">
        <v>156</v>
      </c>
      <c r="E46" s="12" t="s">
        <v>157</v>
      </c>
    </row>
    <row r="47" spans="1:5" ht="30" x14ac:dyDescent="0.25">
      <c r="A47" s="12">
        <v>7</v>
      </c>
      <c r="B47" s="12" t="s">
        <v>158</v>
      </c>
      <c r="C47" s="12" t="s">
        <v>159</v>
      </c>
      <c r="D47" s="12" t="s">
        <v>156</v>
      </c>
      <c r="E47" s="12" t="s">
        <v>160</v>
      </c>
    </row>
    <row r="48" spans="1:5" ht="30" x14ac:dyDescent="0.25">
      <c r="A48" s="12">
        <v>8</v>
      </c>
      <c r="B48" s="12" t="s">
        <v>161</v>
      </c>
      <c r="C48" s="12" t="s">
        <v>162</v>
      </c>
      <c r="D48" s="12" t="s">
        <v>156</v>
      </c>
      <c r="E48" s="12" t="s">
        <v>163</v>
      </c>
    </row>
    <row r="49" spans="1:5" ht="30" x14ac:dyDescent="0.25">
      <c r="A49" s="12">
        <v>9</v>
      </c>
      <c r="B49" s="12" t="s">
        <v>164</v>
      </c>
      <c r="C49" s="12" t="s">
        <v>165</v>
      </c>
      <c r="D49" s="12" t="s">
        <v>146</v>
      </c>
      <c r="E49" s="12" t="s">
        <v>166</v>
      </c>
    </row>
    <row r="50" spans="1:5" ht="30" x14ac:dyDescent="0.25">
      <c r="A50" s="12">
        <v>10</v>
      </c>
      <c r="B50" s="12" t="s">
        <v>167</v>
      </c>
      <c r="C50" s="12" t="s">
        <v>168</v>
      </c>
      <c r="D50" s="12" t="s">
        <v>156</v>
      </c>
      <c r="E50" s="12" t="s">
        <v>169</v>
      </c>
    </row>
    <row r="51" spans="1:5" x14ac:dyDescent="0.25">
      <c r="A51" s="12"/>
      <c r="B51" s="12"/>
      <c r="C51" s="12"/>
      <c r="D51" s="12"/>
      <c r="E51" s="12"/>
    </row>
    <row r="52" spans="1:5" ht="15.75" x14ac:dyDescent="0.25">
      <c r="A52" s="18" t="s">
        <v>170</v>
      </c>
      <c r="B52" s="18"/>
      <c r="C52" s="18"/>
      <c r="D52" s="18"/>
      <c r="E52" s="18"/>
    </row>
    <row r="53" spans="1:5" x14ac:dyDescent="0.25">
      <c r="A53" s="19" t="s">
        <v>171</v>
      </c>
      <c r="B53" s="19" t="s">
        <v>172</v>
      </c>
      <c r="C53" s="19" t="s">
        <v>173</v>
      </c>
      <c r="D53" s="19" t="s">
        <v>174</v>
      </c>
      <c r="E53" s="19" t="s">
        <v>175</v>
      </c>
    </row>
    <row r="54" spans="1:5" x14ac:dyDescent="0.25">
      <c r="A54" s="12" t="s">
        <v>176</v>
      </c>
      <c r="B54" s="12" t="s">
        <v>177</v>
      </c>
      <c r="C54" s="12" t="s">
        <v>178</v>
      </c>
      <c r="D54" s="12" t="s">
        <v>179</v>
      </c>
      <c r="E54" s="12" t="s">
        <v>180</v>
      </c>
    </row>
    <row r="55" spans="1:5" x14ac:dyDescent="0.25">
      <c r="A55" s="12" t="s">
        <v>181</v>
      </c>
      <c r="B55" s="12" t="s">
        <v>182</v>
      </c>
      <c r="C55" s="12" t="s">
        <v>183</v>
      </c>
      <c r="D55" s="12" t="s">
        <v>184</v>
      </c>
      <c r="E55" s="12" t="s">
        <v>185</v>
      </c>
    </row>
    <row r="56" spans="1:5" x14ac:dyDescent="0.25">
      <c r="A56" s="12" t="s">
        <v>186</v>
      </c>
      <c r="B56" s="12" t="s">
        <v>187</v>
      </c>
      <c r="C56" s="12" t="s">
        <v>188</v>
      </c>
      <c r="D56" s="12" t="s">
        <v>189</v>
      </c>
      <c r="E56" s="12" t="s">
        <v>190</v>
      </c>
    </row>
    <row r="57" spans="1:5" x14ac:dyDescent="0.25">
      <c r="A57" s="12" t="s">
        <v>191</v>
      </c>
      <c r="B57" s="12" t="s">
        <v>187</v>
      </c>
      <c r="C57" s="12" t="s">
        <v>192</v>
      </c>
      <c r="D57" s="12" t="s">
        <v>184</v>
      </c>
      <c r="E57" s="12" t="s">
        <v>193</v>
      </c>
    </row>
    <row r="58" spans="1:5" x14ac:dyDescent="0.25">
      <c r="A58" s="12" t="s">
        <v>194</v>
      </c>
      <c r="B58" s="12" t="s">
        <v>187</v>
      </c>
      <c r="C58" s="12" t="s">
        <v>195</v>
      </c>
      <c r="D58" s="12" t="s">
        <v>196</v>
      </c>
      <c r="E58" s="12" t="s">
        <v>197</v>
      </c>
    </row>
    <row r="59" spans="1:5" x14ac:dyDescent="0.25">
      <c r="A59" s="12" t="s">
        <v>198</v>
      </c>
      <c r="B59" s="12" t="s">
        <v>187</v>
      </c>
      <c r="C59" s="12" t="s">
        <v>199</v>
      </c>
      <c r="D59" s="12" t="s">
        <v>200</v>
      </c>
      <c r="E59" s="12" t="s">
        <v>201</v>
      </c>
    </row>
    <row r="60" spans="1:5" x14ac:dyDescent="0.25">
      <c r="A60" s="12"/>
      <c r="B60" s="12"/>
      <c r="C60" s="12"/>
      <c r="D60" s="12"/>
      <c r="E60" s="12"/>
    </row>
    <row r="61" spans="1:5" ht="15.75" x14ac:dyDescent="0.25">
      <c r="A61" s="20" t="s">
        <v>202</v>
      </c>
      <c r="B61" s="20"/>
      <c r="C61" s="20"/>
      <c r="D61" s="20"/>
      <c r="E61" s="20"/>
    </row>
    <row r="62" spans="1:5" x14ac:dyDescent="0.25">
      <c r="A62" s="21" t="s">
        <v>133</v>
      </c>
      <c r="B62" s="21" t="s">
        <v>203</v>
      </c>
      <c r="C62" s="21" t="s">
        <v>204</v>
      </c>
      <c r="D62" s="21" t="s">
        <v>205</v>
      </c>
      <c r="E62" s="21" t="s">
        <v>119</v>
      </c>
    </row>
    <row r="63" spans="1:5" x14ac:dyDescent="0.25">
      <c r="A63" s="12">
        <v>1</v>
      </c>
      <c r="B63" s="12" t="s">
        <v>206</v>
      </c>
      <c r="C63" s="12" t="s">
        <v>207</v>
      </c>
      <c r="D63" s="12" t="s">
        <v>208</v>
      </c>
      <c r="E63" s="12" t="s">
        <v>209</v>
      </c>
    </row>
    <row r="64" spans="1:5" ht="30" x14ac:dyDescent="0.25">
      <c r="A64" s="12">
        <v>2</v>
      </c>
      <c r="B64" s="12" t="s">
        <v>210</v>
      </c>
      <c r="C64" s="12" t="s">
        <v>211</v>
      </c>
      <c r="D64" s="12" t="s">
        <v>212</v>
      </c>
      <c r="E64" s="12" t="s">
        <v>213</v>
      </c>
    </row>
    <row r="65" spans="1:5" x14ac:dyDescent="0.25">
      <c r="A65" s="12">
        <v>3</v>
      </c>
      <c r="B65" s="12" t="s">
        <v>214</v>
      </c>
      <c r="C65" s="12" t="s">
        <v>215</v>
      </c>
      <c r="D65" s="12" t="s">
        <v>216</v>
      </c>
      <c r="E65" s="12" t="s">
        <v>217</v>
      </c>
    </row>
    <row r="66" spans="1:5" ht="30" x14ac:dyDescent="0.25">
      <c r="A66" s="12">
        <v>4</v>
      </c>
      <c r="B66" s="12" t="s">
        <v>218</v>
      </c>
      <c r="C66" s="12" t="s">
        <v>219</v>
      </c>
      <c r="D66" s="12" t="s">
        <v>220</v>
      </c>
      <c r="E66" s="12" t="s">
        <v>221</v>
      </c>
    </row>
    <row r="67" spans="1:5" ht="30" x14ac:dyDescent="0.25">
      <c r="A67" s="12">
        <v>5</v>
      </c>
      <c r="B67" s="12" t="s">
        <v>222</v>
      </c>
      <c r="C67" s="12" t="s">
        <v>223</v>
      </c>
      <c r="D67" s="12" t="s">
        <v>224</v>
      </c>
      <c r="E67" s="12" t="s">
        <v>225</v>
      </c>
    </row>
    <row r="68" spans="1:5" ht="30" x14ac:dyDescent="0.25">
      <c r="A68" s="12">
        <v>6</v>
      </c>
      <c r="B68" s="12" t="s">
        <v>226</v>
      </c>
      <c r="C68" s="12" t="s">
        <v>227</v>
      </c>
      <c r="D68" s="12" t="s">
        <v>228</v>
      </c>
      <c r="E68" s="12" t="s">
        <v>229</v>
      </c>
    </row>
    <row r="69" spans="1:5" ht="30" x14ac:dyDescent="0.25">
      <c r="A69" s="12">
        <v>7</v>
      </c>
      <c r="B69" s="12" t="s">
        <v>230</v>
      </c>
      <c r="C69" s="12" t="s">
        <v>231</v>
      </c>
      <c r="D69" s="12" t="s">
        <v>232</v>
      </c>
      <c r="E69" s="12" t="s">
        <v>233</v>
      </c>
    </row>
    <row r="70" spans="1:5" x14ac:dyDescent="0.25">
      <c r="A70" s="12">
        <v>8</v>
      </c>
      <c r="B70" s="12" t="s">
        <v>234</v>
      </c>
      <c r="C70" s="12" t="s">
        <v>235</v>
      </c>
      <c r="D70" s="12" t="s">
        <v>236</v>
      </c>
      <c r="E70" s="12" t="s">
        <v>237</v>
      </c>
    </row>
    <row r="72" spans="1:5" ht="15.75" x14ac:dyDescent="0.25">
      <c r="A72" s="22" t="s">
        <v>238</v>
      </c>
      <c r="B72" s="22"/>
      <c r="C72" s="22"/>
      <c r="D72" s="22"/>
      <c r="E72" s="22"/>
    </row>
    <row r="73" spans="1:5" x14ac:dyDescent="0.25">
      <c r="A73" s="23" t="s">
        <v>239</v>
      </c>
      <c r="B73" s="23" t="s">
        <v>240</v>
      </c>
      <c r="C73" s="23" t="s">
        <v>241</v>
      </c>
      <c r="D73" s="23" t="s">
        <v>242</v>
      </c>
      <c r="E73" s="23" t="s">
        <v>243</v>
      </c>
    </row>
    <row r="74" spans="1:5" x14ac:dyDescent="0.25">
      <c r="A74" t="s">
        <v>244</v>
      </c>
      <c r="B74" t="s">
        <v>245</v>
      </c>
      <c r="C74" s="24">
        <v>46244</v>
      </c>
      <c r="D74" t="s">
        <v>246</v>
      </c>
      <c r="E74" t="s">
        <v>247</v>
      </c>
    </row>
    <row r="75" spans="1:5" x14ac:dyDescent="0.25">
      <c r="A75" t="s">
        <v>248</v>
      </c>
      <c r="B75" t="s">
        <v>249</v>
      </c>
      <c r="C75" s="24">
        <v>46305</v>
      </c>
      <c r="D75" t="s">
        <v>250</v>
      </c>
      <c r="E75" t="s">
        <v>251</v>
      </c>
    </row>
    <row r="76" spans="1:5" x14ac:dyDescent="0.25">
      <c r="A76" t="s">
        <v>252</v>
      </c>
      <c r="B76" t="s">
        <v>253</v>
      </c>
      <c r="C76" s="24">
        <v>46152</v>
      </c>
      <c r="D76" t="s">
        <v>254</v>
      </c>
      <c r="E76" t="s">
        <v>255</v>
      </c>
    </row>
    <row r="77" spans="1:5" x14ac:dyDescent="0.25">
      <c r="A77" t="s">
        <v>256</v>
      </c>
      <c r="B77" t="s">
        <v>257</v>
      </c>
      <c r="C77" s="24">
        <v>46183</v>
      </c>
      <c r="D77" t="s">
        <v>258</v>
      </c>
      <c r="E77" t="s">
        <v>153</v>
      </c>
    </row>
    <row r="78" spans="1:5" x14ac:dyDescent="0.25">
      <c r="A78" t="s">
        <v>259</v>
      </c>
      <c r="B78" t="s">
        <v>260</v>
      </c>
      <c r="C78" s="24">
        <v>46091</v>
      </c>
      <c r="D78" t="s">
        <v>261</v>
      </c>
      <c r="E78" t="s">
        <v>262</v>
      </c>
    </row>
    <row r="79" spans="1:5" x14ac:dyDescent="0.25">
      <c r="A79" t="s">
        <v>263</v>
      </c>
      <c r="B79" t="s">
        <v>264</v>
      </c>
      <c r="C79" s="24">
        <v>46183</v>
      </c>
      <c r="D79" t="s">
        <v>265</v>
      </c>
      <c r="E79" t="s">
        <v>266</v>
      </c>
    </row>
    <row r="80" spans="1:5" x14ac:dyDescent="0.25">
      <c r="A80" t="s">
        <v>267</v>
      </c>
      <c r="B80" t="s">
        <v>268</v>
      </c>
      <c r="C80" s="24">
        <v>46152</v>
      </c>
      <c r="D80" t="s">
        <v>269</v>
      </c>
      <c r="E80" t="s">
        <v>270</v>
      </c>
    </row>
    <row r="81" spans="1:5" x14ac:dyDescent="0.25">
      <c r="A81" s="25" t="s">
        <v>271</v>
      </c>
      <c r="B81" s="25" t="s">
        <v>272</v>
      </c>
      <c r="C81" s="25" t="s">
        <v>273</v>
      </c>
      <c r="D81" s="25" t="s">
        <v>274</v>
      </c>
      <c r="E81" s="25" t="s">
        <v>275</v>
      </c>
    </row>
    <row r="83" spans="1:5" x14ac:dyDescent="0.25">
      <c r="A83" s="26" t="s">
        <v>276</v>
      </c>
    </row>
    <row r="84" spans="1:5" x14ac:dyDescent="0.25">
      <c r="A84" s="27" t="s">
        <v>277</v>
      </c>
      <c r="B84" s="27"/>
      <c r="C84" s="27"/>
      <c r="D84" s="27"/>
      <c r="E84" s="27"/>
    </row>
    <row r="85" spans="1:5" x14ac:dyDescent="0.25">
      <c r="A85" s="27"/>
      <c r="B85" s="27"/>
      <c r="C85" s="27"/>
      <c r="D85" s="27"/>
      <c r="E85" s="27"/>
    </row>
    <row r="86" spans="1:5" x14ac:dyDescent="0.25">
      <c r="A86" s="27"/>
      <c r="B86" s="27"/>
      <c r="C86" s="27"/>
      <c r="D86" s="27"/>
      <c r="E86" s="27"/>
    </row>
    <row r="87" spans="1:5" x14ac:dyDescent="0.25">
      <c r="A87" s="27"/>
      <c r="B87" s="27"/>
      <c r="C87" s="27"/>
      <c r="D87" s="27"/>
      <c r="E87" s="27"/>
    </row>
    <row r="88" spans="1:5" x14ac:dyDescent="0.25">
      <c r="A88" s="27"/>
      <c r="B88" s="27"/>
      <c r="C88" s="27"/>
      <c r="D88" s="27"/>
      <c r="E88" s="27"/>
    </row>
    <row r="90" spans="1:5" ht="18.75" x14ac:dyDescent="0.3">
      <c r="A90" s="28" t="s">
        <v>278</v>
      </c>
      <c r="B90" s="28"/>
      <c r="C90" s="28"/>
      <c r="D90" s="28"/>
      <c r="E90" s="28"/>
    </row>
    <row r="91" spans="1:5" x14ac:dyDescent="0.25">
      <c r="A91" s="29" t="s">
        <v>279</v>
      </c>
      <c r="B91" s="29"/>
      <c r="C91" s="29"/>
      <c r="D91" s="29"/>
      <c r="E91" s="29"/>
    </row>
    <row r="92" spans="1:5" x14ac:dyDescent="0.25">
      <c r="A92" s="30"/>
      <c r="B92" s="30"/>
      <c r="C92" s="30"/>
      <c r="D92" s="30"/>
      <c r="E92" s="30"/>
    </row>
    <row r="93" spans="1:5" x14ac:dyDescent="0.25">
      <c r="A93" s="31" t="s">
        <v>280</v>
      </c>
      <c r="B93" s="31"/>
      <c r="C93" s="31"/>
      <c r="D93" s="31"/>
      <c r="E93" s="31"/>
    </row>
    <row r="94" spans="1:5" x14ac:dyDescent="0.25">
      <c r="A94" s="32" t="s">
        <v>281</v>
      </c>
      <c r="B94" s="32" t="s">
        <v>282</v>
      </c>
      <c r="C94" s="32" t="s">
        <v>204</v>
      </c>
      <c r="D94" s="32" t="s">
        <v>283</v>
      </c>
      <c r="E94" s="32" t="s">
        <v>284</v>
      </c>
    </row>
    <row r="95" spans="1:5" ht="45" x14ac:dyDescent="0.25">
      <c r="A95" s="30" t="s">
        <v>285</v>
      </c>
      <c r="B95" s="30">
        <v>0.63354460000000001</v>
      </c>
      <c r="C95" s="30" t="e" cm="1">
        <f t="array" ref="C95">(3-SQRT(3))/2 - a/17</f>
        <v>#NAME?</v>
      </c>
      <c r="D95" s="30" t="s">
        <v>286</v>
      </c>
      <c r="E95" s="30" t="s">
        <v>287</v>
      </c>
    </row>
    <row r="96" spans="1:5" x14ac:dyDescent="0.25">
      <c r="A96" s="30" t="s">
        <v>288</v>
      </c>
      <c r="B96" s="30" t="s">
        <v>289</v>
      </c>
      <c r="C96" s="30" t="s">
        <v>290</v>
      </c>
      <c r="D96" s="30" t="s">
        <v>291</v>
      </c>
      <c r="E96" s="30" t="s">
        <v>292</v>
      </c>
    </row>
    <row r="97" spans="1:5" ht="30" x14ac:dyDescent="0.25">
      <c r="A97" s="30" t="s">
        <v>293</v>
      </c>
      <c r="B97" s="30">
        <v>17</v>
      </c>
      <c r="C97" s="30" t="s">
        <v>294</v>
      </c>
      <c r="D97" s="30" t="s">
        <v>295</v>
      </c>
      <c r="E97" s="30" t="s">
        <v>296</v>
      </c>
    </row>
    <row r="98" spans="1:5" ht="30" x14ac:dyDescent="0.25">
      <c r="A98" s="30" t="s">
        <v>297</v>
      </c>
      <c r="B98" s="30" t="s">
        <v>298</v>
      </c>
      <c r="C98" s="30" t="s">
        <v>299</v>
      </c>
      <c r="D98" s="30" t="s">
        <v>300</v>
      </c>
      <c r="E98" s="30" t="s">
        <v>301</v>
      </c>
    </row>
    <row r="99" spans="1:5" x14ac:dyDescent="0.25">
      <c r="A99" s="30" t="s">
        <v>302</v>
      </c>
      <c r="B99" s="30">
        <v>0.23250000000000001</v>
      </c>
      <c r="C99" s="30" t="s">
        <v>303</v>
      </c>
      <c r="D99" s="30" t="s">
        <v>304</v>
      </c>
      <c r="E99" s="30" t="s">
        <v>305</v>
      </c>
    </row>
    <row r="100" spans="1:5" ht="30" x14ac:dyDescent="0.25">
      <c r="A100" s="30" t="s">
        <v>306</v>
      </c>
      <c r="B100" s="30">
        <v>0.63349999999999995</v>
      </c>
      <c r="C100" s="30" t="s">
        <v>307</v>
      </c>
      <c r="D100" s="30" t="s">
        <v>308</v>
      </c>
      <c r="E100" s="30" t="s">
        <v>309</v>
      </c>
    </row>
    <row r="101" spans="1:5" x14ac:dyDescent="0.25">
      <c r="A101" s="30" t="s">
        <v>310</v>
      </c>
      <c r="B101" s="30">
        <v>0.36649999999999999</v>
      </c>
      <c r="C101" s="30" t="s">
        <v>311</v>
      </c>
      <c r="D101" s="30" t="s">
        <v>312</v>
      </c>
      <c r="E101" s="30" t="s">
        <v>313</v>
      </c>
    </row>
    <row r="102" spans="1:5" x14ac:dyDescent="0.25">
      <c r="A102" s="30" t="s">
        <v>314</v>
      </c>
      <c r="B102" s="30">
        <v>1.9903390000000001</v>
      </c>
      <c r="C102" s="30" t="s">
        <v>315</v>
      </c>
      <c r="D102" s="30" t="s">
        <v>316</v>
      </c>
      <c r="E102" s="30" t="s">
        <v>317</v>
      </c>
    </row>
    <row r="103" spans="1:5" x14ac:dyDescent="0.25">
      <c r="A103" s="30"/>
      <c r="B103" s="30"/>
      <c r="C103" s="30"/>
      <c r="D103" s="30"/>
      <c r="E103" s="30"/>
    </row>
    <row r="104" spans="1:5" x14ac:dyDescent="0.25">
      <c r="A104" s="33" t="s">
        <v>318</v>
      </c>
      <c r="B104" s="33"/>
      <c r="C104" s="33"/>
      <c r="D104" s="33"/>
      <c r="E104" s="33"/>
    </row>
    <row r="105" spans="1:5" x14ac:dyDescent="0.25">
      <c r="A105" s="34" t="s">
        <v>319</v>
      </c>
      <c r="B105" s="34" t="s">
        <v>320</v>
      </c>
      <c r="C105" s="34" t="s">
        <v>321</v>
      </c>
      <c r="D105" s="34" t="s">
        <v>322</v>
      </c>
      <c r="E105" s="34" t="s">
        <v>323</v>
      </c>
    </row>
    <row r="106" spans="1:5" ht="45" x14ac:dyDescent="0.25">
      <c r="A106" s="30">
        <v>1.1000000000000001</v>
      </c>
      <c r="B106" s="30" t="s">
        <v>324</v>
      </c>
      <c r="C106" s="30" t="s">
        <v>325</v>
      </c>
      <c r="D106" s="30" t="s">
        <v>326</v>
      </c>
      <c r="E106" s="30" t="s">
        <v>327</v>
      </c>
    </row>
    <row r="107" spans="1:5" ht="30" x14ac:dyDescent="0.25">
      <c r="A107" s="30">
        <v>1.2</v>
      </c>
      <c r="B107" s="30" t="s">
        <v>328</v>
      </c>
      <c r="C107" s="30" t="s">
        <v>329</v>
      </c>
      <c r="D107" s="30" t="s">
        <v>330</v>
      </c>
      <c r="E107" s="30" t="s">
        <v>331</v>
      </c>
    </row>
    <row r="108" spans="1:5" ht="60" x14ac:dyDescent="0.25">
      <c r="A108" s="30">
        <v>1.3</v>
      </c>
      <c r="B108" s="30" t="s">
        <v>332</v>
      </c>
      <c r="C108" s="30" t="s">
        <v>333</v>
      </c>
      <c r="D108" s="30" t="s">
        <v>334</v>
      </c>
      <c r="E108" s="30" t="s">
        <v>335</v>
      </c>
    </row>
    <row r="109" spans="1:5" x14ac:dyDescent="0.25">
      <c r="A109" s="30"/>
      <c r="B109" s="30"/>
      <c r="C109" s="30"/>
      <c r="D109" s="30"/>
      <c r="E109" s="30"/>
    </row>
    <row r="110" spans="1:5" x14ac:dyDescent="0.25">
      <c r="A110" s="35" t="s">
        <v>336</v>
      </c>
      <c r="B110" s="35"/>
      <c r="C110" s="35"/>
      <c r="D110" s="35"/>
      <c r="E110" s="35"/>
    </row>
    <row r="111" spans="1:5" x14ac:dyDescent="0.25">
      <c r="A111" s="36" t="s">
        <v>337</v>
      </c>
      <c r="B111" s="36" t="s">
        <v>338</v>
      </c>
      <c r="C111" s="36" t="s">
        <v>339</v>
      </c>
      <c r="D111" s="36" t="s">
        <v>340</v>
      </c>
      <c r="E111" s="36" t="s">
        <v>323</v>
      </c>
    </row>
    <row r="112" spans="1:5" ht="45" x14ac:dyDescent="0.25">
      <c r="A112" s="30" t="s">
        <v>341</v>
      </c>
      <c r="B112" s="30" t="s">
        <v>342</v>
      </c>
      <c r="C112" s="30" t="s">
        <v>343</v>
      </c>
      <c r="D112" s="30" t="s">
        <v>344</v>
      </c>
      <c r="E112" s="30" t="s">
        <v>345</v>
      </c>
    </row>
    <row r="113" spans="1:5" ht="30" x14ac:dyDescent="0.25">
      <c r="A113" s="30" t="s">
        <v>346</v>
      </c>
      <c r="B113" s="30" t="s">
        <v>347</v>
      </c>
      <c r="C113" s="30" t="s">
        <v>348</v>
      </c>
      <c r="D113" s="30" t="s">
        <v>349</v>
      </c>
      <c r="E113" s="30" t="s">
        <v>350</v>
      </c>
    </row>
    <row r="114" spans="1:5" ht="30" x14ac:dyDescent="0.25">
      <c r="A114" s="30" t="s">
        <v>351</v>
      </c>
      <c r="B114" s="30" t="s">
        <v>352</v>
      </c>
      <c r="C114" s="30" t="s">
        <v>353</v>
      </c>
      <c r="D114" s="30" t="s">
        <v>354</v>
      </c>
      <c r="E114" s="30" t="s">
        <v>355</v>
      </c>
    </row>
    <row r="115" spans="1:5" ht="30" x14ac:dyDescent="0.25">
      <c r="A115" s="30" t="s">
        <v>356</v>
      </c>
      <c r="B115" s="30" t="s">
        <v>357</v>
      </c>
      <c r="C115" s="30" t="s">
        <v>358</v>
      </c>
      <c r="D115" s="30" t="s">
        <v>359</v>
      </c>
      <c r="E115" s="30" t="s">
        <v>60</v>
      </c>
    </row>
    <row r="116" spans="1:5" ht="45" x14ac:dyDescent="0.25">
      <c r="A116" s="30" t="s">
        <v>360</v>
      </c>
      <c r="B116" s="30" t="s">
        <v>361</v>
      </c>
      <c r="C116" s="30" t="s">
        <v>362</v>
      </c>
      <c r="D116" s="30" t="s">
        <v>363</v>
      </c>
      <c r="E116" s="30" t="s">
        <v>364</v>
      </c>
    </row>
    <row r="117" spans="1:5" ht="30" x14ac:dyDescent="0.25">
      <c r="A117" s="30" t="s">
        <v>365</v>
      </c>
      <c r="B117" s="30" t="s">
        <v>366</v>
      </c>
      <c r="C117" s="30" t="s">
        <v>367</v>
      </c>
      <c r="D117" s="30" t="s">
        <v>368</v>
      </c>
      <c r="E117" s="30" t="s">
        <v>60</v>
      </c>
    </row>
    <row r="118" spans="1:5" ht="30" x14ac:dyDescent="0.25">
      <c r="A118" s="30" t="s">
        <v>369</v>
      </c>
      <c r="B118" s="30" t="s">
        <v>370</v>
      </c>
      <c r="C118" s="30" t="s">
        <v>371</v>
      </c>
      <c r="D118" s="30" t="s">
        <v>372</v>
      </c>
      <c r="E118" s="30" t="s">
        <v>373</v>
      </c>
    </row>
    <row r="119" spans="1:5" ht="30" x14ac:dyDescent="0.25">
      <c r="A119" s="30" t="s">
        <v>374</v>
      </c>
      <c r="B119" s="30" t="s">
        <v>375</v>
      </c>
      <c r="C119" s="30" t="s">
        <v>376</v>
      </c>
      <c r="D119" s="30" t="s">
        <v>377</v>
      </c>
      <c r="E119" s="30" t="s">
        <v>378</v>
      </c>
    </row>
    <row r="120" spans="1:5" ht="45" x14ac:dyDescent="0.25">
      <c r="A120" s="30" t="s">
        <v>379</v>
      </c>
      <c r="B120" s="30" t="s">
        <v>380</v>
      </c>
      <c r="C120" s="30" t="s">
        <v>381</v>
      </c>
      <c r="D120" s="30" t="s">
        <v>382</v>
      </c>
      <c r="E120" s="30" t="s">
        <v>383</v>
      </c>
    </row>
    <row r="121" spans="1:5" ht="30" x14ac:dyDescent="0.25">
      <c r="A121" s="30" t="s">
        <v>384</v>
      </c>
      <c r="B121" s="30" t="s">
        <v>385</v>
      </c>
      <c r="C121" s="30" t="s">
        <v>386</v>
      </c>
      <c r="D121" s="30" t="s">
        <v>387</v>
      </c>
      <c r="E121" s="30" t="s">
        <v>388</v>
      </c>
    </row>
    <row r="122" spans="1:5" ht="30" x14ac:dyDescent="0.25">
      <c r="A122" s="30" t="s">
        <v>389</v>
      </c>
      <c r="B122" s="30" t="s">
        <v>390</v>
      </c>
      <c r="C122" s="30" t="s">
        <v>391</v>
      </c>
      <c r="D122" s="30" t="s">
        <v>392</v>
      </c>
      <c r="E122" s="30" t="s">
        <v>383</v>
      </c>
    </row>
    <row r="123" spans="1:5" ht="30" x14ac:dyDescent="0.25">
      <c r="A123" s="30" t="s">
        <v>393</v>
      </c>
      <c r="B123" s="30" t="s">
        <v>394</v>
      </c>
      <c r="C123" s="30" t="s">
        <v>395</v>
      </c>
      <c r="D123" s="30" t="s">
        <v>396</v>
      </c>
      <c r="E123" s="30" t="s">
        <v>397</v>
      </c>
    </row>
    <row r="124" spans="1:5" ht="30" x14ac:dyDescent="0.25">
      <c r="A124" s="30" t="s">
        <v>398</v>
      </c>
      <c r="B124" s="30" t="s">
        <v>399</v>
      </c>
      <c r="C124" s="30" t="s">
        <v>400</v>
      </c>
      <c r="D124" s="30" t="s">
        <v>401</v>
      </c>
      <c r="E124" s="30" t="s">
        <v>402</v>
      </c>
    </row>
    <row r="125" spans="1:5" ht="30" x14ac:dyDescent="0.25">
      <c r="A125" s="30" t="s">
        <v>403</v>
      </c>
      <c r="B125" s="30" t="s">
        <v>404</v>
      </c>
      <c r="C125" s="30" t="s">
        <v>405</v>
      </c>
      <c r="D125" s="30" t="s">
        <v>406</v>
      </c>
      <c r="E125" s="30" t="s">
        <v>407</v>
      </c>
    </row>
    <row r="126" spans="1:5" ht="30" x14ac:dyDescent="0.25">
      <c r="A126" s="30" t="s">
        <v>408</v>
      </c>
      <c r="B126" s="30" t="s">
        <v>409</v>
      </c>
      <c r="C126" s="30" t="s">
        <v>410</v>
      </c>
      <c r="D126" s="30" t="s">
        <v>411</v>
      </c>
      <c r="E126" s="30" t="s">
        <v>412</v>
      </c>
    </row>
    <row r="127" spans="1:5" x14ac:dyDescent="0.25">
      <c r="A127" s="30"/>
      <c r="B127" s="30"/>
      <c r="C127" s="30"/>
      <c r="D127" s="30"/>
      <c r="E127" s="30"/>
    </row>
    <row r="128" spans="1:5" x14ac:dyDescent="0.25">
      <c r="A128" s="37" t="s">
        <v>413</v>
      </c>
      <c r="B128" s="37"/>
      <c r="C128" s="37"/>
      <c r="D128" s="37"/>
      <c r="E128" s="37"/>
    </row>
    <row r="129" spans="1:5" x14ac:dyDescent="0.25">
      <c r="A129" s="38" t="s">
        <v>414</v>
      </c>
      <c r="B129" s="38" t="s">
        <v>415</v>
      </c>
      <c r="C129" s="38" t="s">
        <v>416</v>
      </c>
      <c r="D129" s="38" t="s">
        <v>417</v>
      </c>
      <c r="E129" s="38" t="s">
        <v>418</v>
      </c>
    </row>
    <row r="130" spans="1:5" ht="30" x14ac:dyDescent="0.25">
      <c r="A130" s="30" t="s">
        <v>419</v>
      </c>
      <c r="B130" s="30" t="s">
        <v>420</v>
      </c>
      <c r="C130" s="30" t="s">
        <v>421</v>
      </c>
      <c r="D130" s="30" t="s">
        <v>422</v>
      </c>
      <c r="E130" s="30" t="s">
        <v>423</v>
      </c>
    </row>
    <row r="131" spans="1:5" ht="30" x14ac:dyDescent="0.25">
      <c r="A131" s="30" t="s">
        <v>424</v>
      </c>
      <c r="B131" s="30" t="s">
        <v>425</v>
      </c>
      <c r="C131" s="30" t="s">
        <v>426</v>
      </c>
      <c r="D131" s="30" t="s">
        <v>427</v>
      </c>
      <c r="E131" s="30" t="s">
        <v>423</v>
      </c>
    </row>
    <row r="132" spans="1:5" ht="30" x14ac:dyDescent="0.25">
      <c r="A132" s="30" t="s">
        <v>428</v>
      </c>
      <c r="B132" s="30" t="s">
        <v>429</v>
      </c>
      <c r="C132" s="30" t="s">
        <v>430</v>
      </c>
      <c r="D132" s="30" t="s">
        <v>431</v>
      </c>
      <c r="E132" s="30" t="s">
        <v>432</v>
      </c>
    </row>
    <row r="133" spans="1:5" ht="30" x14ac:dyDescent="0.25">
      <c r="A133" s="30" t="s">
        <v>433</v>
      </c>
      <c r="B133" s="30" t="s">
        <v>434</v>
      </c>
      <c r="C133" s="30" t="s">
        <v>435</v>
      </c>
      <c r="D133" s="30" t="s">
        <v>436</v>
      </c>
      <c r="E133" s="30" t="s">
        <v>423</v>
      </c>
    </row>
    <row r="134" spans="1:5" ht="30" x14ac:dyDescent="0.25">
      <c r="A134" s="30" t="s">
        <v>437</v>
      </c>
      <c r="B134" s="30" t="s">
        <v>384</v>
      </c>
      <c r="C134" s="30" t="s">
        <v>438</v>
      </c>
      <c r="D134" s="30" t="s">
        <v>439</v>
      </c>
      <c r="E134" s="30" t="s">
        <v>423</v>
      </c>
    </row>
    <row r="135" spans="1:5" ht="30" x14ac:dyDescent="0.25">
      <c r="A135" s="30" t="s">
        <v>440</v>
      </c>
      <c r="B135" s="30" t="s">
        <v>441</v>
      </c>
      <c r="C135" s="30" t="s">
        <v>442</v>
      </c>
      <c r="D135" s="30" t="s">
        <v>443</v>
      </c>
      <c r="E135" s="30" t="s">
        <v>432</v>
      </c>
    </row>
    <row r="136" spans="1:5" ht="30" x14ac:dyDescent="0.25">
      <c r="A136" s="30" t="s">
        <v>444</v>
      </c>
      <c r="B136" s="30" t="s">
        <v>445</v>
      </c>
      <c r="C136" s="30" t="s">
        <v>446</v>
      </c>
      <c r="D136" s="30" t="s">
        <v>447</v>
      </c>
      <c r="E136" s="30" t="s">
        <v>423</v>
      </c>
    </row>
    <row r="137" spans="1:5" ht="30" x14ac:dyDescent="0.25">
      <c r="A137" s="30" t="s">
        <v>448</v>
      </c>
      <c r="B137" s="30" t="s">
        <v>449</v>
      </c>
      <c r="C137" s="30" t="s">
        <v>450</v>
      </c>
      <c r="D137" s="30" t="s">
        <v>451</v>
      </c>
      <c r="E137" s="30" t="s">
        <v>452</v>
      </c>
    </row>
    <row r="138" spans="1:5" ht="30" x14ac:dyDescent="0.25">
      <c r="A138" s="30" t="s">
        <v>453</v>
      </c>
      <c r="B138" s="30" t="s">
        <v>454</v>
      </c>
      <c r="C138" s="30" t="s">
        <v>455</v>
      </c>
      <c r="D138" s="30" t="s">
        <v>456</v>
      </c>
      <c r="E138" s="30" t="s">
        <v>457</v>
      </c>
    </row>
    <row r="139" spans="1:5" x14ac:dyDescent="0.25">
      <c r="A139" s="30"/>
      <c r="B139" s="30"/>
      <c r="C139" s="30"/>
      <c r="D139" s="30"/>
      <c r="E139" s="30"/>
    </row>
    <row r="140" spans="1:5" x14ac:dyDescent="0.25">
      <c r="A140" s="39" t="s">
        <v>458</v>
      </c>
      <c r="B140" s="39"/>
      <c r="C140" s="39"/>
      <c r="D140" s="39"/>
      <c r="E140" s="39"/>
    </row>
    <row r="141" spans="1:5" x14ac:dyDescent="0.25">
      <c r="A141" s="30"/>
      <c r="B141" s="30"/>
      <c r="C141" s="30"/>
      <c r="D141" s="30"/>
      <c r="E141" s="30"/>
    </row>
    <row r="142" spans="1:5" x14ac:dyDescent="0.25">
      <c r="A142" s="31" t="s">
        <v>459</v>
      </c>
      <c r="B142" s="31"/>
      <c r="C142" s="31"/>
      <c r="D142" s="31"/>
      <c r="E142" s="31"/>
    </row>
    <row r="143" spans="1:5" x14ac:dyDescent="0.25">
      <c r="A143" s="32" t="s">
        <v>133</v>
      </c>
      <c r="B143" s="32" t="s">
        <v>460</v>
      </c>
      <c r="C143" s="32" t="s">
        <v>322</v>
      </c>
      <c r="D143" s="32" t="s">
        <v>461</v>
      </c>
      <c r="E143" s="32" t="s">
        <v>462</v>
      </c>
    </row>
    <row r="144" spans="1:5" ht="30" x14ac:dyDescent="0.25">
      <c r="A144" s="30">
        <v>1</v>
      </c>
      <c r="B144" s="30" t="s">
        <v>463</v>
      </c>
      <c r="C144" s="30" t="s">
        <v>464</v>
      </c>
      <c r="D144" s="30" t="s">
        <v>465</v>
      </c>
      <c r="E144" s="30" t="s">
        <v>466</v>
      </c>
    </row>
    <row r="145" spans="1:5" ht="30" x14ac:dyDescent="0.25">
      <c r="A145" s="30">
        <v>2</v>
      </c>
      <c r="B145" s="30" t="s">
        <v>467</v>
      </c>
      <c r="C145" s="30" t="s">
        <v>468</v>
      </c>
      <c r="D145" s="30" t="s">
        <v>469</v>
      </c>
      <c r="E145" s="30" t="s">
        <v>470</v>
      </c>
    </row>
    <row r="146" spans="1:5" ht="45" x14ac:dyDescent="0.25">
      <c r="A146" s="30">
        <v>3</v>
      </c>
      <c r="B146" s="30" t="s">
        <v>471</v>
      </c>
      <c r="C146" s="30" t="s">
        <v>472</v>
      </c>
      <c r="D146" s="30" t="s">
        <v>473</v>
      </c>
      <c r="E146" s="30" t="s">
        <v>474</v>
      </c>
    </row>
    <row r="147" spans="1:5" ht="30" x14ac:dyDescent="0.25">
      <c r="A147" s="30">
        <v>4</v>
      </c>
      <c r="B147" s="30" t="s">
        <v>475</v>
      </c>
      <c r="C147" s="30" t="s">
        <v>476</v>
      </c>
      <c r="D147" s="30" t="s">
        <v>477</v>
      </c>
      <c r="E147" s="30" t="s">
        <v>478</v>
      </c>
    </row>
    <row r="148" spans="1:5" ht="30" x14ac:dyDescent="0.25">
      <c r="A148" s="30">
        <v>5</v>
      </c>
      <c r="B148" s="30" t="s">
        <v>479</v>
      </c>
      <c r="C148" s="30" t="s">
        <v>480</v>
      </c>
      <c r="D148" s="30" t="s">
        <v>481</v>
      </c>
      <c r="E148" s="30" t="s">
        <v>482</v>
      </c>
    </row>
    <row r="149" spans="1:5" ht="30" x14ac:dyDescent="0.25">
      <c r="A149" s="30">
        <v>6</v>
      </c>
      <c r="B149" s="30" t="s">
        <v>483</v>
      </c>
      <c r="C149" s="30" t="s">
        <v>484</v>
      </c>
      <c r="D149" s="30" t="s">
        <v>485</v>
      </c>
      <c r="E149" s="30" t="s">
        <v>486</v>
      </c>
    </row>
    <row r="150" spans="1:5" ht="30" x14ac:dyDescent="0.25">
      <c r="A150" s="30">
        <v>7</v>
      </c>
      <c r="B150" s="30" t="s">
        <v>487</v>
      </c>
      <c r="C150" s="30" t="s">
        <v>488</v>
      </c>
      <c r="D150" s="30" t="s">
        <v>489</v>
      </c>
      <c r="E150" s="30" t="s">
        <v>490</v>
      </c>
    </row>
    <row r="151" spans="1:5" x14ac:dyDescent="0.25">
      <c r="A151" s="30"/>
      <c r="B151" s="30"/>
      <c r="C151" s="30"/>
      <c r="D151" s="30"/>
      <c r="E151" s="30"/>
    </row>
    <row r="152" spans="1:5" x14ac:dyDescent="0.25">
      <c r="A152" s="40" t="s">
        <v>491</v>
      </c>
      <c r="B152" s="40"/>
      <c r="C152" s="40"/>
      <c r="D152" s="40"/>
      <c r="E152" s="40"/>
    </row>
    <row r="153" spans="1:5" x14ac:dyDescent="0.25">
      <c r="A153" s="41" t="s">
        <v>133</v>
      </c>
      <c r="B153" s="41" t="s">
        <v>492</v>
      </c>
      <c r="C153" s="41" t="s">
        <v>242</v>
      </c>
      <c r="D153" s="41" t="s">
        <v>493</v>
      </c>
      <c r="E153" s="41" t="s">
        <v>494</v>
      </c>
    </row>
    <row r="154" spans="1:5" ht="45" x14ac:dyDescent="0.25">
      <c r="A154" s="30">
        <v>1</v>
      </c>
      <c r="B154" s="30" t="s">
        <v>495</v>
      </c>
      <c r="C154" s="30" t="s">
        <v>496</v>
      </c>
      <c r="D154" s="30" t="s">
        <v>497</v>
      </c>
      <c r="E154" s="30" t="s">
        <v>498</v>
      </c>
    </row>
    <row r="155" spans="1:5" ht="45" x14ac:dyDescent="0.25">
      <c r="A155" s="30">
        <v>2</v>
      </c>
      <c r="B155" s="30" t="s">
        <v>499</v>
      </c>
      <c r="C155" s="30" t="s">
        <v>500</v>
      </c>
      <c r="D155" s="30" t="s">
        <v>497</v>
      </c>
      <c r="E155" s="30" t="s">
        <v>501</v>
      </c>
    </row>
    <row r="156" spans="1:5" ht="45" x14ac:dyDescent="0.25">
      <c r="A156" s="30">
        <v>3</v>
      </c>
      <c r="B156" s="30" t="s">
        <v>502</v>
      </c>
      <c r="C156" s="30" t="s">
        <v>503</v>
      </c>
      <c r="D156" s="30" t="s">
        <v>156</v>
      </c>
      <c r="E156" s="30" t="s">
        <v>504</v>
      </c>
    </row>
    <row r="157" spans="1:5" ht="45" x14ac:dyDescent="0.25">
      <c r="A157" s="30">
        <v>4</v>
      </c>
      <c r="B157" s="30" t="s">
        <v>505</v>
      </c>
      <c r="C157" s="30" t="s">
        <v>506</v>
      </c>
      <c r="D157" s="30" t="s">
        <v>497</v>
      </c>
      <c r="E157" s="30" t="s">
        <v>507</v>
      </c>
    </row>
    <row r="158" spans="1:5" ht="45" x14ac:dyDescent="0.25">
      <c r="A158" s="30">
        <v>5</v>
      </c>
      <c r="B158" s="30" t="s">
        <v>508</v>
      </c>
      <c r="C158" s="30" t="s">
        <v>509</v>
      </c>
      <c r="D158" s="30" t="s">
        <v>156</v>
      </c>
      <c r="E158" s="30" t="s">
        <v>510</v>
      </c>
    </row>
    <row r="159" spans="1:5" ht="45" x14ac:dyDescent="0.25">
      <c r="A159" s="30">
        <v>6</v>
      </c>
      <c r="B159" s="30" t="s">
        <v>511</v>
      </c>
      <c r="C159" s="30" t="s">
        <v>512</v>
      </c>
      <c r="D159" s="30" t="s">
        <v>513</v>
      </c>
      <c r="E159" s="30" t="s">
        <v>514</v>
      </c>
    </row>
    <row r="160" spans="1:5" ht="60" x14ac:dyDescent="0.25">
      <c r="A160" s="30">
        <v>7</v>
      </c>
      <c r="B160" s="30" t="s">
        <v>515</v>
      </c>
      <c r="C160" s="30" t="s">
        <v>516</v>
      </c>
      <c r="D160" s="30" t="s">
        <v>517</v>
      </c>
      <c r="E160" s="30" t="s">
        <v>518</v>
      </c>
    </row>
    <row r="161" spans="1:5" ht="60" x14ac:dyDescent="0.25">
      <c r="A161" s="30">
        <v>8</v>
      </c>
      <c r="B161" s="30" t="s">
        <v>519</v>
      </c>
      <c r="C161" s="30" t="s">
        <v>520</v>
      </c>
      <c r="D161" s="30" t="s">
        <v>156</v>
      </c>
      <c r="E161" s="30" t="s">
        <v>521</v>
      </c>
    </row>
    <row r="162" spans="1:5" x14ac:dyDescent="0.25">
      <c r="A162" s="30"/>
      <c r="B162" s="30"/>
      <c r="C162" s="30"/>
      <c r="D162" s="30"/>
      <c r="E162" s="30"/>
    </row>
    <row r="163" spans="1:5" x14ac:dyDescent="0.25">
      <c r="A163" s="42" t="s">
        <v>522</v>
      </c>
      <c r="B163" s="42"/>
      <c r="C163" s="42"/>
      <c r="D163" s="42"/>
      <c r="E163" s="42"/>
    </row>
    <row r="164" spans="1:5" x14ac:dyDescent="0.25">
      <c r="A164" s="43" t="s">
        <v>523</v>
      </c>
      <c r="B164" s="43" t="s">
        <v>524</v>
      </c>
      <c r="C164" s="43" t="s">
        <v>525</v>
      </c>
      <c r="D164" s="43" t="s">
        <v>526</v>
      </c>
      <c r="E164" s="43" t="s">
        <v>527</v>
      </c>
    </row>
    <row r="165" spans="1:5" x14ac:dyDescent="0.25">
      <c r="A165" s="30" t="s">
        <v>528</v>
      </c>
      <c r="B165" s="30" t="s">
        <v>529</v>
      </c>
      <c r="C165" s="30" t="s">
        <v>530</v>
      </c>
      <c r="D165" s="30" t="s">
        <v>531</v>
      </c>
      <c r="E165" s="30" t="s">
        <v>532</v>
      </c>
    </row>
    <row r="166" spans="1:5" x14ac:dyDescent="0.25">
      <c r="A166" s="30" t="s">
        <v>533</v>
      </c>
      <c r="B166" s="30" t="s">
        <v>534</v>
      </c>
      <c r="C166" s="30" t="s">
        <v>535</v>
      </c>
      <c r="D166" s="30" t="s">
        <v>536</v>
      </c>
      <c r="E166" s="30" t="s">
        <v>537</v>
      </c>
    </row>
    <row r="167" spans="1:5" ht="30" x14ac:dyDescent="0.25">
      <c r="A167" s="30" t="s">
        <v>148</v>
      </c>
      <c r="B167" s="30" t="s">
        <v>538</v>
      </c>
      <c r="C167" s="30" t="s">
        <v>365</v>
      </c>
      <c r="D167" s="30" t="s">
        <v>531</v>
      </c>
      <c r="E167" s="30" t="s">
        <v>532</v>
      </c>
    </row>
    <row r="168" spans="1:5" x14ac:dyDescent="0.25">
      <c r="A168" s="30" t="s">
        <v>151</v>
      </c>
      <c r="B168" s="30" t="s">
        <v>539</v>
      </c>
      <c r="C168" s="30" t="s">
        <v>540</v>
      </c>
      <c r="D168" s="30" t="s">
        <v>536</v>
      </c>
      <c r="E168" s="30" t="s">
        <v>541</v>
      </c>
    </row>
    <row r="169" spans="1:5" x14ac:dyDescent="0.25">
      <c r="A169" s="30" t="s">
        <v>542</v>
      </c>
      <c r="B169" s="30" t="s">
        <v>543</v>
      </c>
      <c r="C169" s="30" t="s">
        <v>434</v>
      </c>
      <c r="D169" s="30" t="s">
        <v>536</v>
      </c>
      <c r="E169" s="30" t="s">
        <v>544</v>
      </c>
    </row>
    <row r="170" spans="1:5" x14ac:dyDescent="0.25">
      <c r="A170" s="30" t="s">
        <v>545</v>
      </c>
      <c r="B170" s="30" t="s">
        <v>546</v>
      </c>
      <c r="C170" s="30" t="s">
        <v>547</v>
      </c>
      <c r="D170" s="30" t="s">
        <v>531</v>
      </c>
      <c r="E170" s="30" t="s">
        <v>532</v>
      </c>
    </row>
    <row r="171" spans="1:5" ht="30" x14ac:dyDescent="0.25">
      <c r="A171" s="30" t="s">
        <v>164</v>
      </c>
      <c r="B171" s="30" t="s">
        <v>548</v>
      </c>
      <c r="C171" s="30" t="s">
        <v>549</v>
      </c>
      <c r="D171" s="30" t="s">
        <v>531</v>
      </c>
      <c r="E171" s="30" t="s">
        <v>532</v>
      </c>
    </row>
    <row r="172" spans="1:5" x14ac:dyDescent="0.25">
      <c r="A172" s="30" t="s">
        <v>167</v>
      </c>
      <c r="B172" s="30" t="s">
        <v>550</v>
      </c>
      <c r="C172" s="30" t="s">
        <v>449</v>
      </c>
      <c r="D172" s="30" t="s">
        <v>536</v>
      </c>
      <c r="E172" s="30" t="s">
        <v>551</v>
      </c>
    </row>
    <row r="173" spans="1:5" x14ac:dyDescent="0.25">
      <c r="A173" s="30"/>
      <c r="B173" s="30"/>
      <c r="C173" s="30"/>
      <c r="D173" s="30"/>
      <c r="E173" s="30"/>
    </row>
    <row r="174" spans="1:5" x14ac:dyDescent="0.25">
      <c r="A174" s="44" t="s">
        <v>552</v>
      </c>
      <c r="B174" s="44"/>
      <c r="C174" s="44"/>
      <c r="D174" s="44"/>
      <c r="E174" s="44"/>
    </row>
    <row r="175" spans="1:5" x14ac:dyDescent="0.25">
      <c r="A175" s="45" t="s">
        <v>239</v>
      </c>
      <c r="B175" s="45" t="s">
        <v>553</v>
      </c>
      <c r="C175" s="45" t="s">
        <v>554</v>
      </c>
      <c r="D175" s="45" t="s">
        <v>555</v>
      </c>
      <c r="E175" s="45" t="s">
        <v>322</v>
      </c>
    </row>
    <row r="176" spans="1:5" x14ac:dyDescent="0.25">
      <c r="A176" s="46" t="s">
        <v>556</v>
      </c>
      <c r="B176" s="47">
        <v>46063</v>
      </c>
      <c r="C176" s="47">
        <v>46275</v>
      </c>
      <c r="D176" s="46">
        <v>7</v>
      </c>
      <c r="E176" s="46" t="s">
        <v>557</v>
      </c>
    </row>
    <row r="177" spans="1:5" x14ac:dyDescent="0.25">
      <c r="A177" s="46" t="s">
        <v>60</v>
      </c>
      <c r="B177" s="47">
        <v>46091</v>
      </c>
      <c r="C177" s="47">
        <v>46275</v>
      </c>
      <c r="D177" s="46">
        <v>6</v>
      </c>
      <c r="E177" s="46" t="s">
        <v>558</v>
      </c>
    </row>
    <row r="178" spans="1:5" x14ac:dyDescent="0.25">
      <c r="A178" s="46" t="s">
        <v>559</v>
      </c>
      <c r="B178" s="47">
        <v>46122</v>
      </c>
      <c r="C178" s="47">
        <v>46244</v>
      </c>
      <c r="D178" s="46">
        <v>4</v>
      </c>
      <c r="E178" s="46" t="s">
        <v>560</v>
      </c>
    </row>
    <row r="179" spans="1:5" x14ac:dyDescent="0.25">
      <c r="A179" s="46" t="s">
        <v>387</v>
      </c>
      <c r="B179" s="47">
        <v>46183</v>
      </c>
      <c r="C179" s="47">
        <v>46244</v>
      </c>
      <c r="D179" s="46">
        <v>2</v>
      </c>
      <c r="E179" s="46" t="s">
        <v>561</v>
      </c>
    </row>
    <row r="180" spans="1:5" x14ac:dyDescent="0.25">
      <c r="A180" s="46" t="s">
        <v>562</v>
      </c>
      <c r="B180" s="47">
        <v>46183</v>
      </c>
      <c r="C180" s="47">
        <v>46244</v>
      </c>
      <c r="D180" s="46">
        <v>2</v>
      </c>
      <c r="E180" s="46" t="s">
        <v>563</v>
      </c>
    </row>
    <row r="181" spans="1:5" x14ac:dyDescent="0.25">
      <c r="A181" s="46" t="s">
        <v>564</v>
      </c>
      <c r="B181" s="47">
        <v>46091</v>
      </c>
      <c r="C181" s="47">
        <v>46213</v>
      </c>
      <c r="D181" s="46">
        <v>4</v>
      </c>
      <c r="E181" s="46" t="s">
        <v>565</v>
      </c>
    </row>
    <row r="182" spans="1:5" x14ac:dyDescent="0.25">
      <c r="A182" s="46" t="s">
        <v>483</v>
      </c>
      <c r="B182" s="47">
        <v>46152</v>
      </c>
      <c r="C182" s="47">
        <v>46244</v>
      </c>
      <c r="D182" s="46">
        <v>3</v>
      </c>
      <c r="E182" s="46" t="s">
        <v>566</v>
      </c>
    </row>
    <row r="183" spans="1:5" x14ac:dyDescent="0.25">
      <c r="A183" s="46" t="s">
        <v>567</v>
      </c>
      <c r="B183" s="47">
        <v>46122</v>
      </c>
      <c r="C183" s="47">
        <v>46275</v>
      </c>
      <c r="D183" s="46">
        <v>5</v>
      </c>
      <c r="E183" s="46" t="s">
        <v>568</v>
      </c>
    </row>
    <row r="184" spans="1:5" x14ac:dyDescent="0.25">
      <c r="A184" s="30"/>
      <c r="B184" s="30"/>
      <c r="C184" s="30"/>
      <c r="D184" s="30"/>
      <c r="E184" s="30"/>
    </row>
    <row r="185" spans="1:5" x14ac:dyDescent="0.25">
      <c r="A185" s="48" t="s">
        <v>569</v>
      </c>
      <c r="B185" s="48" t="s">
        <v>273</v>
      </c>
      <c r="C185" s="48" t="s">
        <v>570</v>
      </c>
      <c r="D185" s="48">
        <v>2.5</v>
      </c>
      <c r="E185" s="48" t="s">
        <v>571</v>
      </c>
    </row>
    <row r="186" spans="1:5" x14ac:dyDescent="0.25">
      <c r="A186" s="30"/>
      <c r="B186" s="30"/>
      <c r="C186" s="30"/>
      <c r="D186" s="30"/>
      <c r="E186" s="30"/>
    </row>
    <row r="187" spans="1:5" x14ac:dyDescent="0.25">
      <c r="A187" s="49" t="s">
        <v>572</v>
      </c>
      <c r="B187" s="49"/>
      <c r="C187" s="49"/>
      <c r="D187" s="49"/>
      <c r="E187" s="49"/>
    </row>
    <row r="188" spans="1:5" x14ac:dyDescent="0.25">
      <c r="A188" s="30"/>
      <c r="B188" s="30"/>
      <c r="C188" s="30"/>
      <c r="D188" s="30"/>
      <c r="E188" s="30"/>
    </row>
    <row r="189" spans="1:5" x14ac:dyDescent="0.25">
      <c r="A189" s="50" t="s">
        <v>573</v>
      </c>
      <c r="B189" s="50"/>
      <c r="C189" s="50"/>
      <c r="D189" s="50"/>
      <c r="E189" s="50"/>
    </row>
    <row r="190" spans="1:5" x14ac:dyDescent="0.25">
      <c r="A190" s="50" t="s">
        <v>574</v>
      </c>
      <c r="B190" s="50"/>
      <c r="C190" s="50"/>
      <c r="D190" s="50"/>
      <c r="E190" s="50"/>
    </row>
    <row r="191" spans="1:5" x14ac:dyDescent="0.25">
      <c r="A191" s="50" t="s">
        <v>575</v>
      </c>
      <c r="B191" s="50"/>
      <c r="C191" s="50"/>
      <c r="D191" s="50"/>
      <c r="E191" s="50"/>
    </row>
    <row r="192" spans="1:5" x14ac:dyDescent="0.25">
      <c r="A192" s="50" t="s">
        <v>576</v>
      </c>
      <c r="B192" s="50"/>
      <c r="C192" s="50"/>
      <c r="D192" s="50"/>
      <c r="E192" s="50"/>
    </row>
    <row r="193" spans="1:5" x14ac:dyDescent="0.25">
      <c r="A193" s="51" t="s">
        <v>577</v>
      </c>
      <c r="B193" s="51"/>
      <c r="C193" s="51"/>
      <c r="D193" s="51"/>
      <c r="E193" s="51"/>
    </row>
    <row r="194" spans="1:5" x14ac:dyDescent="0.25">
      <c r="A194" s="50" t="s">
        <v>578</v>
      </c>
      <c r="B194" s="50"/>
      <c r="C194" s="50"/>
      <c r="D194" s="50"/>
      <c r="E194" s="50"/>
    </row>
    <row r="195" spans="1:5" x14ac:dyDescent="0.25">
      <c r="A195" s="30"/>
      <c r="B195" s="30"/>
      <c r="C195" s="30"/>
      <c r="D195" s="30"/>
      <c r="E195" s="30"/>
    </row>
    <row r="196" spans="1:5" x14ac:dyDescent="0.25">
      <c r="A196" s="52" t="s">
        <v>579</v>
      </c>
      <c r="B196" s="52"/>
      <c r="C196" s="52"/>
      <c r="D196" s="52"/>
      <c r="E196" s="52"/>
    </row>
    <row r="197" spans="1:5" x14ac:dyDescent="0.25">
      <c r="A197" s="50" t="s">
        <v>580</v>
      </c>
      <c r="B197" s="50"/>
      <c r="C197" s="50"/>
      <c r="D197" s="50"/>
      <c r="E197" s="50"/>
    </row>
    <row r="198" spans="1:5" x14ac:dyDescent="0.25">
      <c r="A198" s="50" t="s">
        <v>581</v>
      </c>
      <c r="B198" s="50"/>
      <c r="C198" s="50"/>
      <c r="D198" s="50"/>
      <c r="E198" s="50"/>
    </row>
    <row r="199" spans="1:5" x14ac:dyDescent="0.25">
      <c r="A199" s="50" t="e" cm="1">
        <f t="array" ref="A199">- LIGO/GWOSC: Gravitasyonel dalga sapmalari - TOm tunelleme dogrulamalari</f>
        <v>#NAME?</v>
      </c>
      <c r="B199" s="50"/>
      <c r="C199" s="50"/>
      <c r="D199" s="50"/>
      <c r="E199" s="50"/>
    </row>
    <row r="200" spans="1:5" x14ac:dyDescent="0.25">
      <c r="A200" s="50" t="s">
        <v>582</v>
      </c>
      <c r="B200" s="50"/>
      <c r="C200" s="50"/>
      <c r="D200" s="50"/>
      <c r="E200" s="50"/>
    </row>
    <row r="201" spans="1:5" x14ac:dyDescent="0.25">
      <c r="A201" s="50" t="s">
        <v>583</v>
      </c>
      <c r="B201" s="50"/>
      <c r="C201" s="50"/>
      <c r="D201" s="50"/>
      <c r="E201" s="50"/>
    </row>
    <row r="203" spans="1:5" ht="15.75" x14ac:dyDescent="0.3">
      <c r="A203" s="28" t="s">
        <v>584</v>
      </c>
      <c r="B203" s="50"/>
      <c r="C203" s="50"/>
      <c r="D203" s="50"/>
      <c r="E203" s="50"/>
    </row>
    <row r="204" spans="1:5" x14ac:dyDescent="0.25">
      <c r="A204" s="53" t="s">
        <v>585</v>
      </c>
      <c r="B204" s="54"/>
      <c r="C204" s="54"/>
      <c r="D204" s="54"/>
      <c r="E204" s="54"/>
    </row>
    <row r="206" spans="1:5" x14ac:dyDescent="0.25">
      <c r="A206" s="55" t="s">
        <v>586</v>
      </c>
      <c r="B206" s="54"/>
      <c r="C206" s="54"/>
      <c r="D206" s="54"/>
      <c r="E206" s="54"/>
    </row>
    <row r="207" spans="1:5" x14ac:dyDescent="0.25">
      <c r="A207" s="56" t="s">
        <v>281</v>
      </c>
      <c r="B207" s="56" t="s">
        <v>587</v>
      </c>
      <c r="C207" s="56" t="s">
        <v>282</v>
      </c>
      <c r="D207" s="56" t="s">
        <v>588</v>
      </c>
      <c r="E207" s="56" t="s">
        <v>284</v>
      </c>
    </row>
    <row r="208" spans="1:5" x14ac:dyDescent="0.25">
      <c r="A208" t="s">
        <v>589</v>
      </c>
      <c r="B208" t="s">
        <v>590</v>
      </c>
      <c r="C208">
        <v>3.1415926535900001</v>
      </c>
      <c r="D208" t="s">
        <v>591</v>
      </c>
      <c r="E208" t="s">
        <v>592</v>
      </c>
    </row>
    <row r="209" spans="1:5" x14ac:dyDescent="0.25">
      <c r="A209" t="s">
        <v>593</v>
      </c>
      <c r="B209" t="s">
        <v>594</v>
      </c>
      <c r="C209">
        <v>1.6180339886999999</v>
      </c>
      <c r="D209" t="s">
        <v>595</v>
      </c>
      <c r="E209" t="s">
        <v>596</v>
      </c>
    </row>
    <row r="210" spans="1:5" x14ac:dyDescent="0.25">
      <c r="A210" t="s">
        <v>597</v>
      </c>
      <c r="B210" t="s">
        <v>598</v>
      </c>
      <c r="C210" t="s">
        <v>599</v>
      </c>
      <c r="D210" t="s">
        <v>600</v>
      </c>
      <c r="E210" t="s">
        <v>601</v>
      </c>
    </row>
    <row r="211" spans="1:5" x14ac:dyDescent="0.25">
      <c r="A211" t="s">
        <v>602</v>
      </c>
      <c r="B211" t="s">
        <v>603</v>
      </c>
      <c r="C211" t="s">
        <v>604</v>
      </c>
      <c r="D211" t="s">
        <v>605</v>
      </c>
      <c r="E211" t="s">
        <v>606</v>
      </c>
    </row>
    <row r="212" spans="1:5" x14ac:dyDescent="0.25">
      <c r="A212" t="s">
        <v>607</v>
      </c>
      <c r="B212" t="s">
        <v>608</v>
      </c>
      <c r="C212" t="s">
        <v>609</v>
      </c>
      <c r="D212" t="s">
        <v>610</v>
      </c>
      <c r="E212" t="s">
        <v>611</v>
      </c>
    </row>
    <row r="213" spans="1:5" x14ac:dyDescent="0.25">
      <c r="A213" t="s">
        <v>612</v>
      </c>
      <c r="B213" t="s">
        <v>613</v>
      </c>
      <c r="C213" t="s">
        <v>614</v>
      </c>
      <c r="D213" t="s">
        <v>615</v>
      </c>
      <c r="E213" t="s">
        <v>616</v>
      </c>
    </row>
    <row r="214" spans="1:5" x14ac:dyDescent="0.25">
      <c r="A214" t="s">
        <v>617</v>
      </c>
      <c r="B214" t="s">
        <v>618</v>
      </c>
      <c r="C214" t="s">
        <v>619</v>
      </c>
      <c r="D214" t="s">
        <v>620</v>
      </c>
      <c r="E214" t="s">
        <v>621</v>
      </c>
    </row>
    <row r="215" spans="1:5" x14ac:dyDescent="0.25">
      <c r="A215" t="s">
        <v>622</v>
      </c>
      <c r="B215" t="s">
        <v>623</v>
      </c>
      <c r="C215" t="s">
        <v>624</v>
      </c>
      <c r="D215" t="s">
        <v>625</v>
      </c>
      <c r="E215" t="s">
        <v>626</v>
      </c>
    </row>
    <row r="216" spans="1:5" x14ac:dyDescent="0.25">
      <c r="A216" t="s">
        <v>627</v>
      </c>
      <c r="B216" t="s">
        <v>628</v>
      </c>
      <c r="C216" t="s">
        <v>629</v>
      </c>
      <c r="D216" t="s">
        <v>630</v>
      </c>
      <c r="E216" t="s">
        <v>631</v>
      </c>
    </row>
    <row r="219" spans="1:5" x14ac:dyDescent="0.25">
      <c r="A219" s="57" t="s">
        <v>632</v>
      </c>
      <c r="B219" s="54"/>
      <c r="C219" s="54"/>
      <c r="D219" s="54"/>
      <c r="E219" s="54"/>
    </row>
    <row r="220" spans="1:5" x14ac:dyDescent="0.25">
      <c r="A220" s="58" t="s">
        <v>281</v>
      </c>
      <c r="B220" s="58" t="s">
        <v>587</v>
      </c>
      <c r="C220" s="58" t="s">
        <v>282</v>
      </c>
      <c r="D220" s="58" t="s">
        <v>204</v>
      </c>
      <c r="E220" s="58" t="s">
        <v>284</v>
      </c>
    </row>
    <row r="221" spans="1:5" x14ac:dyDescent="0.25">
      <c r="A221" t="s">
        <v>633</v>
      </c>
      <c r="B221" t="s">
        <v>634</v>
      </c>
      <c r="C221">
        <v>0.63397460000000005</v>
      </c>
      <c r="D221" t="s">
        <v>635</v>
      </c>
      <c r="E221" t="s">
        <v>636</v>
      </c>
    </row>
    <row r="222" spans="1:5" x14ac:dyDescent="0.25">
      <c r="A222" t="s">
        <v>637</v>
      </c>
      <c r="B222" t="s">
        <v>638</v>
      </c>
      <c r="C222">
        <v>0.63354460000000001</v>
      </c>
      <c r="D222" t="s">
        <v>639</v>
      </c>
      <c r="E222" t="s">
        <v>640</v>
      </c>
    </row>
    <row r="223" spans="1:5" x14ac:dyDescent="0.25">
      <c r="A223" t="s">
        <v>641</v>
      </c>
      <c r="B223" t="s">
        <v>642</v>
      </c>
      <c r="C223">
        <v>0.63353521999999995</v>
      </c>
      <c r="D223" t="s">
        <v>643</v>
      </c>
      <c r="E223" t="s">
        <v>644</v>
      </c>
    </row>
    <row r="224" spans="1:5" x14ac:dyDescent="0.25">
      <c r="A224" t="s">
        <v>645</v>
      </c>
      <c r="B224" t="s">
        <v>646</v>
      </c>
      <c r="C224">
        <v>0.36645539999999999</v>
      </c>
      <c r="D224" t="s">
        <v>311</v>
      </c>
      <c r="E224" t="s">
        <v>647</v>
      </c>
    </row>
    <row r="225" spans="1:5" x14ac:dyDescent="0.25">
      <c r="A225" t="s">
        <v>648</v>
      </c>
      <c r="B225" t="s">
        <v>649</v>
      </c>
      <c r="C225">
        <v>0.36646477999999999</v>
      </c>
      <c r="D225" t="s">
        <v>650</v>
      </c>
      <c r="E225" t="s">
        <v>651</v>
      </c>
    </row>
    <row r="226" spans="1:5" x14ac:dyDescent="0.25">
      <c r="A226" t="s">
        <v>652</v>
      </c>
      <c r="B226" t="s">
        <v>653</v>
      </c>
      <c r="C226" t="s">
        <v>654</v>
      </c>
      <c r="D226" t="s">
        <v>655</v>
      </c>
      <c r="E226" t="s">
        <v>656</v>
      </c>
    </row>
    <row r="227" spans="1:5" x14ac:dyDescent="0.25">
      <c r="A227" t="s">
        <v>657</v>
      </c>
      <c r="B227" t="s">
        <v>658</v>
      </c>
      <c r="C227">
        <v>0.40138185999999998</v>
      </c>
      <c r="D227" t="s">
        <v>659</v>
      </c>
      <c r="E227" t="s">
        <v>660</v>
      </c>
    </row>
    <row r="230" spans="1:5" x14ac:dyDescent="0.25">
      <c r="A230" s="59" t="s">
        <v>661</v>
      </c>
      <c r="B230" s="60"/>
      <c r="C230" s="60"/>
      <c r="D230" s="60"/>
      <c r="E230" s="60"/>
    </row>
    <row r="231" spans="1:5" x14ac:dyDescent="0.25">
      <c r="A231" s="61" t="s">
        <v>662</v>
      </c>
      <c r="B231" s="61" t="s">
        <v>587</v>
      </c>
      <c r="C231" s="61" t="s">
        <v>282</v>
      </c>
      <c r="D231" s="61" t="s">
        <v>204</v>
      </c>
      <c r="E231" s="61" t="s">
        <v>663</v>
      </c>
    </row>
    <row r="232" spans="1:5" x14ac:dyDescent="0.25">
      <c r="A232" t="s">
        <v>664</v>
      </c>
      <c r="B232" t="s">
        <v>665</v>
      </c>
      <c r="C232">
        <v>-0.500745</v>
      </c>
      <c r="D232" t="s">
        <v>666</v>
      </c>
      <c r="E232" t="s">
        <v>667</v>
      </c>
    </row>
    <row r="233" spans="1:5" x14ac:dyDescent="0.25">
      <c r="A233" t="s">
        <v>668</v>
      </c>
      <c r="B233" t="s">
        <v>669</v>
      </c>
      <c r="C233">
        <v>1.9970250000000001</v>
      </c>
      <c r="D233" t="s">
        <v>670</v>
      </c>
      <c r="E233" t="s">
        <v>671</v>
      </c>
    </row>
    <row r="234" spans="1:5" x14ac:dyDescent="0.25">
      <c r="A234" t="s">
        <v>672</v>
      </c>
      <c r="B234" t="s">
        <v>673</v>
      </c>
      <c r="C234">
        <v>-1</v>
      </c>
      <c r="D234" t="s">
        <v>674</v>
      </c>
      <c r="E234" t="s">
        <v>675</v>
      </c>
    </row>
    <row r="235" spans="1:5" x14ac:dyDescent="0.25">
      <c r="A235" t="s">
        <v>676</v>
      </c>
      <c r="B235" t="s">
        <v>677</v>
      </c>
      <c r="C235">
        <v>1.1954610000000001</v>
      </c>
      <c r="D235" t="s">
        <v>678</v>
      </c>
      <c r="E235" t="s">
        <v>679</v>
      </c>
    </row>
    <row r="236" spans="1:5" x14ac:dyDescent="0.25">
      <c r="A236" t="s">
        <v>680</v>
      </c>
      <c r="B236" t="s">
        <v>681</v>
      </c>
      <c r="C236">
        <v>4.3005000000000004</v>
      </c>
      <c r="D236" t="s">
        <v>682</v>
      </c>
      <c r="E236" t="s">
        <v>683</v>
      </c>
    </row>
    <row r="237" spans="1:5" x14ac:dyDescent="0.25">
      <c r="A237" s="62" t="s">
        <v>684</v>
      </c>
      <c r="B237" s="54"/>
      <c r="C237" s="54"/>
      <c r="D237" s="54"/>
      <c r="E237" s="54"/>
    </row>
    <row r="238" spans="1:5" x14ac:dyDescent="0.25">
      <c r="A238" s="63" t="s">
        <v>685</v>
      </c>
      <c r="B238" s="63" t="s">
        <v>686</v>
      </c>
      <c r="C238" s="63" t="s">
        <v>687</v>
      </c>
      <c r="D238" s="63" t="s">
        <v>688</v>
      </c>
      <c r="E238" s="63" t="s">
        <v>689</v>
      </c>
    </row>
    <row r="239" spans="1:5" x14ac:dyDescent="0.25">
      <c r="A239" t="s">
        <v>690</v>
      </c>
      <c r="B239">
        <v>0.68569999999999998</v>
      </c>
      <c r="C239">
        <v>0.68659999999999999</v>
      </c>
      <c r="D239" s="64">
        <v>1.2999999999999999E-3</v>
      </c>
      <c r="E239" t="s">
        <v>356</v>
      </c>
    </row>
    <row r="240" spans="1:5" x14ac:dyDescent="0.25">
      <c r="A240" t="s">
        <v>691</v>
      </c>
      <c r="B240">
        <v>0.2717</v>
      </c>
      <c r="C240">
        <v>0.26979999999999998</v>
      </c>
      <c r="D240" s="64">
        <v>7.0000000000000001E-3</v>
      </c>
      <c r="E240" t="s">
        <v>398</v>
      </c>
    </row>
    <row r="241" spans="1:5" x14ac:dyDescent="0.25">
      <c r="A241" t="s">
        <v>692</v>
      </c>
      <c r="B241">
        <v>4.8599999999999997E-2</v>
      </c>
      <c r="C241">
        <v>4.8399999999999999E-2</v>
      </c>
      <c r="D241" s="64">
        <v>4.1000000000000003E-3</v>
      </c>
      <c r="E241" t="s">
        <v>393</v>
      </c>
    </row>
    <row r="242" spans="1:5" x14ac:dyDescent="0.25">
      <c r="A242" t="s">
        <v>693</v>
      </c>
      <c r="B242" t="s">
        <v>694</v>
      </c>
      <c r="C242" t="s">
        <v>695</v>
      </c>
      <c r="D242" t="s">
        <v>696</v>
      </c>
      <c r="E242" t="s">
        <v>365</v>
      </c>
    </row>
    <row r="243" spans="1:5" x14ac:dyDescent="0.25">
      <c r="A243" t="s">
        <v>697</v>
      </c>
      <c r="B243" t="s">
        <v>698</v>
      </c>
      <c r="C243" t="s">
        <v>699</v>
      </c>
      <c r="D243" t="s">
        <v>532</v>
      </c>
      <c r="E243" t="s">
        <v>532</v>
      </c>
    </row>
    <row r="244" spans="1:5" x14ac:dyDescent="0.25">
      <c r="A244" t="s">
        <v>700</v>
      </c>
      <c r="B244" t="s">
        <v>701</v>
      </c>
      <c r="C244">
        <v>1.085078</v>
      </c>
      <c r="D244" s="64">
        <v>1.9E-3</v>
      </c>
      <c r="E244" t="s">
        <v>389</v>
      </c>
    </row>
    <row r="247" spans="1:5" x14ac:dyDescent="0.25">
      <c r="A247" s="65" t="s">
        <v>702</v>
      </c>
      <c r="B247" s="54"/>
      <c r="C247" s="54"/>
      <c r="D247" s="54"/>
      <c r="E247" s="54"/>
    </row>
    <row r="248" spans="1:5" x14ac:dyDescent="0.25">
      <c r="A248" s="66" t="s">
        <v>685</v>
      </c>
      <c r="B248" s="66" t="s">
        <v>587</v>
      </c>
      <c r="C248" s="66" t="s">
        <v>282</v>
      </c>
      <c r="D248" s="66" t="s">
        <v>204</v>
      </c>
      <c r="E248" s="66" t="s">
        <v>703</v>
      </c>
    </row>
    <row r="249" spans="1:5" x14ac:dyDescent="0.25">
      <c r="A249" t="s">
        <v>704</v>
      </c>
      <c r="B249" t="s">
        <v>705</v>
      </c>
      <c r="C249">
        <v>17</v>
      </c>
      <c r="D249" t="s">
        <v>706</v>
      </c>
      <c r="E249" t="s">
        <v>707</v>
      </c>
    </row>
    <row r="250" spans="1:5" x14ac:dyDescent="0.25">
      <c r="A250" t="s">
        <v>708</v>
      </c>
      <c r="B250" t="s">
        <v>709</v>
      </c>
      <c r="C250" t="s">
        <v>710</v>
      </c>
      <c r="D250" t="s">
        <v>711</v>
      </c>
      <c r="E250" t="s">
        <v>712</v>
      </c>
    </row>
    <row r="251" spans="1:5" x14ac:dyDescent="0.25">
      <c r="A251" t="s">
        <v>713</v>
      </c>
      <c r="B251" t="s">
        <v>714</v>
      </c>
      <c r="C251" t="s">
        <v>715</v>
      </c>
      <c r="D251" t="s">
        <v>716</v>
      </c>
      <c r="E251" t="s">
        <v>717</v>
      </c>
    </row>
    <row r="254" spans="1:5" x14ac:dyDescent="0.25">
      <c r="A254" s="67" t="s">
        <v>718</v>
      </c>
      <c r="B254" s="54"/>
      <c r="C254" s="54"/>
      <c r="D254" s="54"/>
      <c r="E254" s="54"/>
    </row>
    <row r="255" spans="1:5" x14ac:dyDescent="0.25">
      <c r="A255" s="68" t="s">
        <v>685</v>
      </c>
      <c r="B255" s="68" t="s">
        <v>587</v>
      </c>
      <c r="C255" s="68" t="s">
        <v>282</v>
      </c>
      <c r="D255" s="68" t="s">
        <v>204</v>
      </c>
      <c r="E255" s="68" t="s">
        <v>284</v>
      </c>
    </row>
    <row r="256" spans="1:5" x14ac:dyDescent="0.25">
      <c r="A256" t="s">
        <v>680</v>
      </c>
      <c r="B256" t="s">
        <v>681</v>
      </c>
      <c r="C256">
        <v>4.3005000000000004</v>
      </c>
      <c r="D256" t="s">
        <v>682</v>
      </c>
      <c r="E256" t="s">
        <v>719</v>
      </c>
    </row>
    <row r="257" spans="1:5" x14ac:dyDescent="0.25">
      <c r="A257" t="s">
        <v>720</v>
      </c>
      <c r="B257" t="s">
        <v>721</v>
      </c>
      <c r="C257">
        <v>0.36645539999999999</v>
      </c>
      <c r="D257" t="s">
        <v>646</v>
      </c>
      <c r="E257" t="s">
        <v>722</v>
      </c>
    </row>
    <row r="258" spans="1:5" x14ac:dyDescent="0.25">
      <c r="A258" t="s">
        <v>723</v>
      </c>
      <c r="B258" t="s">
        <v>724</v>
      </c>
      <c r="C258">
        <v>0.23252885000000001</v>
      </c>
      <c r="D258" t="s">
        <v>725</v>
      </c>
      <c r="E258" t="s">
        <v>726</v>
      </c>
    </row>
    <row r="259" spans="1:5" x14ac:dyDescent="0.25">
      <c r="A259" t="s">
        <v>727</v>
      </c>
      <c r="B259" t="s">
        <v>728</v>
      </c>
      <c r="C259" t="s">
        <v>729</v>
      </c>
      <c r="D259" t="s">
        <v>730</v>
      </c>
      <c r="E259" t="s">
        <v>731</v>
      </c>
    </row>
    <row r="262" spans="1:5" x14ac:dyDescent="0.25">
      <c r="A262" s="69" t="s">
        <v>732</v>
      </c>
      <c r="B262" s="54"/>
      <c r="C262" s="54"/>
      <c r="D262" s="54"/>
      <c r="E262" s="54"/>
    </row>
    <row r="263" spans="1:5" x14ac:dyDescent="0.25">
      <c r="A263" s="70" t="s">
        <v>119</v>
      </c>
      <c r="B263" s="70" t="s">
        <v>204</v>
      </c>
      <c r="C263" s="70" t="s">
        <v>121</v>
      </c>
      <c r="D263" s="70" t="s">
        <v>733</v>
      </c>
      <c r="E263" s="70" t="s">
        <v>734</v>
      </c>
    </row>
    <row r="264" spans="1:5" x14ac:dyDescent="0.25">
      <c r="A264" t="s">
        <v>735</v>
      </c>
      <c r="B264" t="s">
        <v>736</v>
      </c>
      <c r="C264">
        <f xml:space="preserve"> 1</f>
        <v>1</v>
      </c>
      <c r="D264" t="s">
        <v>737</v>
      </c>
      <c r="E264" t="s">
        <v>738</v>
      </c>
    </row>
    <row r="265" spans="1:5" x14ac:dyDescent="0.25">
      <c r="A265" t="s">
        <v>739</v>
      </c>
    </row>
    <row r="267" spans="1:5" x14ac:dyDescent="0.25">
      <c r="A267" s="69" t="s">
        <v>732</v>
      </c>
      <c r="B267" s="54"/>
      <c r="C267" s="54"/>
      <c r="D267" s="54"/>
      <c r="E267" s="54"/>
    </row>
    <row r="268" spans="1:5" x14ac:dyDescent="0.25">
      <c r="A268" s="70" t="s">
        <v>119</v>
      </c>
      <c r="B268" s="70" t="s">
        <v>204</v>
      </c>
      <c r="C268" s="70" t="s">
        <v>121</v>
      </c>
      <c r="D268" s="70" t="s">
        <v>733</v>
      </c>
      <c r="E268" s="70" t="s">
        <v>734</v>
      </c>
    </row>
    <row r="269" spans="1:5" x14ac:dyDescent="0.25">
      <c r="A269" t="s">
        <v>735</v>
      </c>
      <c r="B269" t="s">
        <v>736</v>
      </c>
      <c r="C269">
        <f xml:space="preserve"> 1</f>
        <v>1</v>
      </c>
      <c r="D269" t="s">
        <v>737</v>
      </c>
      <c r="E269" t="s">
        <v>423</v>
      </c>
    </row>
    <row r="270" spans="1:5" x14ac:dyDescent="0.25">
      <c r="A270" t="s">
        <v>739</v>
      </c>
      <c r="B270" t="s">
        <v>740</v>
      </c>
      <c r="C270">
        <f xml:space="preserve"> 1.732</f>
        <v>1.732</v>
      </c>
      <c r="D270" t="s">
        <v>741</v>
      </c>
      <c r="E270" t="s">
        <v>351</v>
      </c>
    </row>
    <row r="271" spans="1:5" x14ac:dyDescent="0.25">
      <c r="A271" t="s">
        <v>742</v>
      </c>
      <c r="B271" t="s">
        <v>743</v>
      </c>
      <c r="C271">
        <f xml:space="preserve"> 1.990339</f>
        <v>1.9903390000000001</v>
      </c>
      <c r="D271" t="s">
        <v>744</v>
      </c>
      <c r="E271" t="s">
        <v>346</v>
      </c>
    </row>
    <row r="272" spans="1:5" x14ac:dyDescent="0.25">
      <c r="A272" t="s">
        <v>745</v>
      </c>
      <c r="B272" t="s">
        <v>746</v>
      </c>
      <c r="C272">
        <f xml:space="preserve"> -1</f>
        <v>-1</v>
      </c>
      <c r="D272" t="s">
        <v>747</v>
      </c>
      <c r="E272" t="s">
        <v>369</v>
      </c>
    </row>
    <row r="273" spans="1:5" x14ac:dyDescent="0.25">
      <c r="A273" t="s">
        <v>748</v>
      </c>
      <c r="B273" t="s">
        <v>749</v>
      </c>
      <c r="C273">
        <f xml:space="preserve"> 0.6866</f>
        <v>0.68659999999999999</v>
      </c>
      <c r="D273" t="s">
        <v>750</v>
      </c>
      <c r="E273" t="s">
        <v>751</v>
      </c>
    </row>
    <row r="274" spans="1:5" x14ac:dyDescent="0.25">
      <c r="A274" t="s">
        <v>752</v>
      </c>
      <c r="B274" t="s">
        <v>753</v>
      </c>
      <c r="C274">
        <f xml:space="preserve"> 1.0851</f>
        <v>1.0851</v>
      </c>
      <c r="D274" t="s">
        <v>754</v>
      </c>
      <c r="E274" t="s">
        <v>389</v>
      </c>
    </row>
    <row r="275" spans="1:5" x14ac:dyDescent="0.25">
      <c r="A275" t="s">
        <v>755</v>
      </c>
      <c r="B275" t="s">
        <v>756</v>
      </c>
      <c r="C275">
        <f xml:space="preserve"> 0.2325</f>
        <v>0.23250000000000001</v>
      </c>
      <c r="D275" t="s">
        <v>757</v>
      </c>
      <c r="E275" t="s">
        <v>758</v>
      </c>
    </row>
    <row r="278" spans="1:5" x14ac:dyDescent="0.25">
      <c r="A278" s="71" t="s">
        <v>759</v>
      </c>
      <c r="B278" s="54"/>
      <c r="C278" s="54"/>
      <c r="D278" s="54"/>
      <c r="E278" s="54"/>
    </row>
    <row r="279" spans="1:5" x14ac:dyDescent="0.25">
      <c r="A279" s="72" t="s">
        <v>760</v>
      </c>
      <c r="B279" s="72" t="s">
        <v>204</v>
      </c>
      <c r="C279" s="72" t="s">
        <v>121</v>
      </c>
      <c r="D279" s="72" t="s">
        <v>761</v>
      </c>
      <c r="E279" s="72" t="s">
        <v>734</v>
      </c>
    </row>
    <row r="280" spans="1:5" x14ac:dyDescent="0.25">
      <c r="A280" t="s">
        <v>762</v>
      </c>
      <c r="B280">
        <f>PI()</f>
        <v>3.1415926535897931</v>
      </c>
      <c r="C280">
        <v>3.1415926535900001</v>
      </c>
      <c r="D280">
        <v>3.1415926535900001</v>
      </c>
      <c r="E280" t="s">
        <v>763</v>
      </c>
    </row>
    <row r="281" spans="1:5" x14ac:dyDescent="0.25">
      <c r="A281" t="s">
        <v>764</v>
      </c>
      <c r="B281">
        <f>(1+SQRT(5))/2</f>
        <v>1.6180339887498949</v>
      </c>
      <c r="C281">
        <v>1.6180339886999999</v>
      </c>
      <c r="D281">
        <v>1.6180339886999999</v>
      </c>
      <c r="E281" t="s">
        <v>763</v>
      </c>
    </row>
    <row r="282" spans="1:5" x14ac:dyDescent="0.25">
      <c r="A282" t="s">
        <v>634</v>
      </c>
      <c r="B282">
        <f>(3-SQRT(3))/2</f>
        <v>0.6339745962155614</v>
      </c>
      <c r="C282">
        <v>0.63397460000000005</v>
      </c>
      <c r="D282">
        <v>0.63397460000000005</v>
      </c>
      <c r="E282" t="s">
        <v>763</v>
      </c>
    </row>
    <row r="283" spans="1:5" x14ac:dyDescent="0.25">
      <c r="A283" t="s">
        <v>765</v>
      </c>
      <c r="B283" t="e" cm="1">
        <f t="array" ref="B283">N_GEO - alpha/17</f>
        <v>#NAME?</v>
      </c>
      <c r="C283">
        <v>0.63354460000000001</v>
      </c>
      <c r="D283">
        <v>0.63354460000000001</v>
      </c>
      <c r="E283" t="s">
        <v>763</v>
      </c>
    </row>
    <row r="284" spans="1:5" x14ac:dyDescent="0.25">
      <c r="A284" t="s">
        <v>766</v>
      </c>
      <c r="B284" t="e" cm="1">
        <f t="array" ref="B284">1 - Nb</f>
        <v>#NAME?</v>
      </c>
      <c r="C284">
        <v>0.36645539999999999</v>
      </c>
      <c r="D284">
        <v>0.36645539999999999</v>
      </c>
      <c r="E284" t="s">
        <v>763</v>
      </c>
    </row>
    <row r="285" spans="1:5" x14ac:dyDescent="0.25">
      <c r="A285" t="s">
        <v>767</v>
      </c>
      <c r="B285" t="e" cm="1">
        <f t="array" ref="B285">EXP(-2*_xleta.PI*Nb*Ccb)</f>
        <v>#VALUE!</v>
      </c>
      <c r="C285">
        <v>0.23252885000000001</v>
      </c>
      <c r="D285">
        <v>0.23252885000000001</v>
      </c>
      <c r="E285" t="s">
        <v>763</v>
      </c>
    </row>
    <row r="286" spans="1:5" x14ac:dyDescent="0.25">
      <c r="A286" t="s">
        <v>768</v>
      </c>
      <c r="B286" t="e" cm="1">
        <f t="array" ref="B286">_xleta.PI * Nb</f>
        <v>#VALUE!</v>
      </c>
      <c r="C286">
        <v>1.9903390000000001</v>
      </c>
      <c r="D286">
        <v>1.9903390000000001</v>
      </c>
      <c r="E286" t="s">
        <v>763</v>
      </c>
    </row>
    <row r="287" spans="1:5" x14ac:dyDescent="0.25">
      <c r="A287" t="s">
        <v>769</v>
      </c>
      <c r="B287" t="e" cm="1">
        <f t="array" ref="B287">Nb/(1-Nb)</f>
        <v>#NAME?</v>
      </c>
      <c r="C287">
        <v>1.7320507999999999</v>
      </c>
      <c r="D287">
        <v>1.7320507999999999</v>
      </c>
      <c r="E287" t="s">
        <v>763</v>
      </c>
    </row>
    <row r="288" spans="1:5" x14ac:dyDescent="0.25">
      <c r="A288" t="s">
        <v>770</v>
      </c>
      <c r="B288" t="e" cm="1">
        <f t="array" ref="B288">gtt * grr</f>
        <v>#NAME?</v>
      </c>
      <c r="C288">
        <v>-1</v>
      </c>
      <c r="D288">
        <v>-1</v>
      </c>
      <c r="E288" t="s">
        <v>763</v>
      </c>
    </row>
    <row r="289" spans="1:5" x14ac:dyDescent="0.25">
      <c r="A289" t="s">
        <v>771</v>
      </c>
      <c r="B289" t="e" cm="1">
        <f t="array" ref="B289">1 + Nb*Ccb^2</f>
        <v>#NAME?</v>
      </c>
      <c r="C289">
        <v>1.085078</v>
      </c>
      <c r="D289">
        <v>1.085078</v>
      </c>
      <c r="E289" t="s">
        <v>763</v>
      </c>
    </row>
    <row r="290" spans="1:5" x14ac:dyDescent="0.25">
      <c r="A290" t="s">
        <v>772</v>
      </c>
      <c r="B290" t="e" cm="1">
        <f t="array" ref="B290">Nb + OmegaDM/(_xleta.PHI*_xleta.PI)</f>
        <v>#NAME?</v>
      </c>
      <c r="C290">
        <v>0.68659999999999999</v>
      </c>
      <c r="D290">
        <v>0.68659999999999999</v>
      </c>
      <c r="E290" t="s">
        <v>763</v>
      </c>
    </row>
    <row r="291" spans="1:5" x14ac:dyDescent="0.25">
      <c r="A291" t="s">
        <v>681</v>
      </c>
      <c r="B291" t="e" cm="1">
        <f t="array" ref="B291">1/TOm</f>
        <v>#NAME?</v>
      </c>
      <c r="C291">
        <v>4.3005000000000004</v>
      </c>
      <c r="D291">
        <v>4.3005000000000004</v>
      </c>
      <c r="E291" t="s">
        <v>763</v>
      </c>
    </row>
    <row r="295" spans="1:5" x14ac:dyDescent="0.25">
      <c r="A295" s="73" t="s">
        <v>773</v>
      </c>
      <c r="B295" s="54"/>
      <c r="C295" s="54"/>
      <c r="D295" s="54"/>
      <c r="E295" s="54"/>
    </row>
    <row r="296" spans="1:5" x14ac:dyDescent="0.25">
      <c r="A296" s="74" t="s">
        <v>281</v>
      </c>
      <c r="B296" s="74" t="s">
        <v>774</v>
      </c>
      <c r="C296" s="74" t="s">
        <v>321</v>
      </c>
      <c r="D296" s="74" t="s">
        <v>775</v>
      </c>
      <c r="E296" s="74" t="s">
        <v>776</v>
      </c>
    </row>
    <row r="297" spans="1:5" x14ac:dyDescent="0.25">
      <c r="A297" t="s">
        <v>777</v>
      </c>
      <c r="B297" s="75">
        <v>7.2973525693000004E-3</v>
      </c>
      <c r="C297" t="s">
        <v>290</v>
      </c>
      <c r="D297" t="s">
        <v>532</v>
      </c>
      <c r="E297" t="s">
        <v>291</v>
      </c>
    </row>
    <row r="298" spans="1:5" x14ac:dyDescent="0.25">
      <c r="A298" t="s">
        <v>778</v>
      </c>
      <c r="B298" s="75">
        <v>299792458</v>
      </c>
      <c r="C298" t="s">
        <v>605</v>
      </c>
      <c r="D298" t="s">
        <v>779</v>
      </c>
      <c r="E298" t="s">
        <v>780</v>
      </c>
    </row>
    <row r="299" spans="1:5" x14ac:dyDescent="0.25">
      <c r="A299" t="s">
        <v>781</v>
      </c>
      <c r="B299" s="75">
        <v>6.6742999999999994E-11</v>
      </c>
      <c r="C299" t="s">
        <v>610</v>
      </c>
      <c r="D299" t="s">
        <v>782</v>
      </c>
      <c r="E299" t="s">
        <v>783</v>
      </c>
    </row>
    <row r="300" spans="1:5" x14ac:dyDescent="0.25">
      <c r="A300" t="s">
        <v>784</v>
      </c>
      <c r="B300" s="75">
        <v>1.054571817E-34</v>
      </c>
      <c r="C300" t="s">
        <v>785</v>
      </c>
      <c r="D300" t="s">
        <v>786</v>
      </c>
      <c r="E300" t="s">
        <v>787</v>
      </c>
    </row>
    <row r="301" spans="1:5" x14ac:dyDescent="0.25">
      <c r="A301" t="s">
        <v>788</v>
      </c>
      <c r="B301" s="75">
        <v>1.3806490000000001E-23</v>
      </c>
      <c r="C301" t="s">
        <v>789</v>
      </c>
      <c r="D301" t="s">
        <v>790</v>
      </c>
      <c r="E301" t="s">
        <v>791</v>
      </c>
    </row>
    <row r="302" spans="1:5" x14ac:dyDescent="0.25">
      <c r="A302" t="s">
        <v>792</v>
      </c>
      <c r="B302">
        <v>67.400000000000006</v>
      </c>
      <c r="C302" t="s">
        <v>625</v>
      </c>
      <c r="D302" t="s">
        <v>793</v>
      </c>
      <c r="E302" t="s">
        <v>794</v>
      </c>
    </row>
    <row r="303" spans="1:5" x14ac:dyDescent="0.25">
      <c r="A303" t="s">
        <v>795</v>
      </c>
      <c r="B303">
        <v>73</v>
      </c>
      <c r="C303" t="s">
        <v>630</v>
      </c>
      <c r="D303" t="s">
        <v>793</v>
      </c>
      <c r="E303" t="s">
        <v>796</v>
      </c>
    </row>
    <row r="304" spans="1:5" x14ac:dyDescent="0.25">
      <c r="A304" t="s">
        <v>634</v>
      </c>
      <c r="B304">
        <v>0.63397460000000005</v>
      </c>
      <c r="C304" t="s">
        <v>797</v>
      </c>
      <c r="D304" t="s">
        <v>532</v>
      </c>
      <c r="E304" t="s">
        <v>798</v>
      </c>
    </row>
    <row r="305" spans="1:5" x14ac:dyDescent="0.25">
      <c r="A305" t="s">
        <v>799</v>
      </c>
      <c r="B305">
        <v>0.63354460000000001</v>
      </c>
      <c r="C305" t="s">
        <v>800</v>
      </c>
      <c r="D305" t="s">
        <v>532</v>
      </c>
      <c r="E305" t="s">
        <v>801</v>
      </c>
    </row>
    <row r="306" spans="1:5" x14ac:dyDescent="0.25">
      <c r="A306" t="s">
        <v>802</v>
      </c>
      <c r="B306">
        <v>0.63353521999999995</v>
      </c>
      <c r="C306" t="s">
        <v>803</v>
      </c>
      <c r="D306" t="s">
        <v>532</v>
      </c>
      <c r="E306" t="s">
        <v>804</v>
      </c>
    </row>
    <row r="307" spans="1:5" x14ac:dyDescent="0.25">
      <c r="A307" t="s">
        <v>805</v>
      </c>
      <c r="B307">
        <v>0.36645539999999999</v>
      </c>
      <c r="C307" t="s">
        <v>806</v>
      </c>
      <c r="D307" t="s">
        <v>532</v>
      </c>
      <c r="E307" t="s">
        <v>807</v>
      </c>
    </row>
    <row r="308" spans="1:5" x14ac:dyDescent="0.25">
      <c r="A308" t="s">
        <v>808</v>
      </c>
      <c r="B308">
        <v>0.36646477999999999</v>
      </c>
      <c r="C308" t="s">
        <v>809</v>
      </c>
      <c r="D308" t="s">
        <v>532</v>
      </c>
      <c r="E308" t="s">
        <v>810</v>
      </c>
    </row>
    <row r="309" spans="1:5" x14ac:dyDescent="0.25">
      <c r="A309" t="s">
        <v>811</v>
      </c>
      <c r="B309" s="75">
        <v>9.38E-6</v>
      </c>
      <c r="C309" t="s">
        <v>812</v>
      </c>
      <c r="D309" t="s">
        <v>532</v>
      </c>
      <c r="E309" t="s">
        <v>813</v>
      </c>
    </row>
    <row r="310" spans="1:5" x14ac:dyDescent="0.25">
      <c r="A310" t="s">
        <v>814</v>
      </c>
      <c r="B310">
        <v>0.23252885000000001</v>
      </c>
      <c r="C310" t="s">
        <v>815</v>
      </c>
      <c r="D310" t="s">
        <v>532</v>
      </c>
      <c r="E310" t="s">
        <v>816</v>
      </c>
    </row>
    <row r="311" spans="1:5" x14ac:dyDescent="0.25">
      <c r="A311" t="s">
        <v>658</v>
      </c>
      <c r="B311">
        <v>0.40138185999999998</v>
      </c>
      <c r="C311" t="s">
        <v>817</v>
      </c>
      <c r="D311" t="s">
        <v>532</v>
      </c>
      <c r="E311" t="s">
        <v>818</v>
      </c>
    </row>
    <row r="312" spans="1:5" x14ac:dyDescent="0.25">
      <c r="A312" t="s">
        <v>768</v>
      </c>
      <c r="B312">
        <v>1.9903390000000001</v>
      </c>
      <c r="C312" t="s">
        <v>819</v>
      </c>
      <c r="D312" t="s">
        <v>532</v>
      </c>
      <c r="E312" t="s">
        <v>820</v>
      </c>
    </row>
    <row r="313" spans="1:5" x14ac:dyDescent="0.25">
      <c r="A313" t="s">
        <v>821</v>
      </c>
      <c r="B313">
        <v>3.9806780000000002</v>
      </c>
      <c r="C313" t="s">
        <v>822</v>
      </c>
      <c r="D313" t="s">
        <v>532</v>
      </c>
      <c r="E313" t="s">
        <v>823</v>
      </c>
    </row>
    <row r="314" spans="1:5" x14ac:dyDescent="0.25">
      <c r="A314" t="s">
        <v>824</v>
      </c>
      <c r="B314">
        <v>1.1954610000000001</v>
      </c>
      <c r="C314" t="s">
        <v>825</v>
      </c>
      <c r="D314" t="s">
        <v>532</v>
      </c>
      <c r="E314" t="s">
        <v>826</v>
      </c>
    </row>
    <row r="315" spans="1:5" x14ac:dyDescent="0.25">
      <c r="A315" t="s">
        <v>827</v>
      </c>
      <c r="B315">
        <v>-0.500745</v>
      </c>
      <c r="C315" t="s">
        <v>828</v>
      </c>
      <c r="D315" t="s">
        <v>532</v>
      </c>
      <c r="E315" t="s">
        <v>829</v>
      </c>
    </row>
    <row r="316" spans="1:5" x14ac:dyDescent="0.25">
      <c r="A316" t="s">
        <v>830</v>
      </c>
      <c r="B316">
        <v>1.9970250000000001</v>
      </c>
      <c r="C316" t="s">
        <v>831</v>
      </c>
      <c r="D316" t="s">
        <v>532</v>
      </c>
      <c r="E316" t="s">
        <v>832</v>
      </c>
    </row>
    <row r="317" spans="1:5" x14ac:dyDescent="0.25">
      <c r="A317" t="s">
        <v>833</v>
      </c>
      <c r="B317">
        <v>0.68569999999999998</v>
      </c>
      <c r="C317" t="s">
        <v>625</v>
      </c>
      <c r="D317" t="s">
        <v>532</v>
      </c>
      <c r="E317" t="s">
        <v>834</v>
      </c>
    </row>
    <row r="318" spans="1:5" x14ac:dyDescent="0.25">
      <c r="A318" t="s">
        <v>835</v>
      </c>
      <c r="B318">
        <v>0.2717</v>
      </c>
      <c r="C318" t="s">
        <v>625</v>
      </c>
      <c r="D318" t="s">
        <v>532</v>
      </c>
      <c r="E318" t="s">
        <v>836</v>
      </c>
    </row>
    <row r="319" spans="1:5" x14ac:dyDescent="0.25">
      <c r="A319" t="s">
        <v>837</v>
      </c>
      <c r="B319">
        <v>4.8599999999999997E-2</v>
      </c>
      <c r="C319" t="s">
        <v>625</v>
      </c>
      <c r="D319" t="s">
        <v>532</v>
      </c>
      <c r="E319" t="s">
        <v>838</v>
      </c>
    </row>
    <row r="320" spans="1:5" x14ac:dyDescent="0.25">
      <c r="A320" t="s">
        <v>839</v>
      </c>
      <c r="B320" s="75">
        <v>1.1E-52</v>
      </c>
      <c r="C320" t="s">
        <v>840</v>
      </c>
      <c r="D320" t="s">
        <v>841</v>
      </c>
      <c r="E320" t="s">
        <v>213</v>
      </c>
    </row>
    <row r="321" spans="1:5" x14ac:dyDescent="0.25">
      <c r="A321" t="s">
        <v>705</v>
      </c>
      <c r="B321">
        <v>17</v>
      </c>
      <c r="C321" t="s">
        <v>842</v>
      </c>
      <c r="D321" t="s">
        <v>532</v>
      </c>
      <c r="E321" t="s">
        <v>843</v>
      </c>
    </row>
    <row r="322" spans="1:5" x14ac:dyDescent="0.25">
      <c r="A322" t="s">
        <v>709</v>
      </c>
      <c r="B322" s="75">
        <v>4.2925999999999999E-4</v>
      </c>
      <c r="C322" t="s">
        <v>844</v>
      </c>
      <c r="D322" t="s">
        <v>532</v>
      </c>
      <c r="E322" t="s">
        <v>845</v>
      </c>
    </row>
    <row r="323" spans="1:5" x14ac:dyDescent="0.25">
      <c r="A323" t="s">
        <v>681</v>
      </c>
      <c r="B323">
        <v>4.3005000000000004</v>
      </c>
      <c r="C323" t="s">
        <v>846</v>
      </c>
      <c r="D323" t="s">
        <v>532</v>
      </c>
      <c r="E323" t="s">
        <v>847</v>
      </c>
    </row>
    <row r="324" spans="1:5" x14ac:dyDescent="0.25">
      <c r="A324" t="s">
        <v>721</v>
      </c>
      <c r="B324">
        <v>0.36645539999999999</v>
      </c>
      <c r="C324" t="s">
        <v>805</v>
      </c>
      <c r="D324" t="s">
        <v>532</v>
      </c>
      <c r="E324" t="s">
        <v>848</v>
      </c>
    </row>
    <row r="325" spans="1:5" x14ac:dyDescent="0.25">
      <c r="A325" t="s">
        <v>849</v>
      </c>
      <c r="B325">
        <v>1.085078</v>
      </c>
      <c r="C325" t="s">
        <v>850</v>
      </c>
      <c r="D325" t="s">
        <v>532</v>
      </c>
      <c r="E325" t="s">
        <v>851</v>
      </c>
    </row>
    <row r="328" spans="1:5" x14ac:dyDescent="0.25">
      <c r="A328" s="76" t="s">
        <v>852</v>
      </c>
      <c r="B328" s="54"/>
      <c r="C328" s="54"/>
      <c r="D328" s="54"/>
      <c r="E328" s="54"/>
    </row>
    <row r="329" spans="1:5" x14ac:dyDescent="0.25">
      <c r="A329" s="77" t="s">
        <v>171</v>
      </c>
      <c r="B329" s="77" t="s">
        <v>118</v>
      </c>
      <c r="C329" s="77" t="s">
        <v>121</v>
      </c>
      <c r="D329" s="77" t="s">
        <v>284</v>
      </c>
      <c r="E329" s="77" t="s">
        <v>663</v>
      </c>
    </row>
    <row r="330" spans="1:5" x14ac:dyDescent="0.25">
      <c r="A330" t="s">
        <v>853</v>
      </c>
      <c r="B330" t="s">
        <v>854</v>
      </c>
      <c r="C330">
        <v>1</v>
      </c>
      <c r="D330" t="s">
        <v>855</v>
      </c>
      <c r="E330" t="s">
        <v>856</v>
      </c>
    </row>
    <row r="331" spans="1:5" x14ac:dyDescent="0.25">
      <c r="A331" t="s">
        <v>857</v>
      </c>
      <c r="B331" t="s">
        <v>769</v>
      </c>
      <c r="C331">
        <v>1.7321</v>
      </c>
      <c r="D331" t="s">
        <v>858</v>
      </c>
      <c r="E331" t="s">
        <v>859</v>
      </c>
    </row>
    <row r="332" spans="1:5" x14ac:dyDescent="0.25">
      <c r="A332" t="s">
        <v>860</v>
      </c>
      <c r="B332" t="s">
        <v>861</v>
      </c>
      <c r="C332">
        <v>5.0831999999999997</v>
      </c>
      <c r="D332" t="s">
        <v>862</v>
      </c>
      <c r="E332" t="s">
        <v>863</v>
      </c>
    </row>
    <row r="333" spans="1:5" x14ac:dyDescent="0.25">
      <c r="A333" t="s">
        <v>864</v>
      </c>
      <c r="B333" t="s">
        <v>770</v>
      </c>
      <c r="C333">
        <v>-1</v>
      </c>
      <c r="D333" t="s">
        <v>865</v>
      </c>
      <c r="E333" t="s">
        <v>866</v>
      </c>
    </row>
    <row r="334" spans="1:5" x14ac:dyDescent="0.25">
      <c r="A334" t="s">
        <v>867</v>
      </c>
      <c r="B334" t="s">
        <v>868</v>
      </c>
      <c r="C334">
        <v>1.0831</v>
      </c>
      <c r="D334" t="s">
        <v>869</v>
      </c>
      <c r="E334" t="s">
        <v>870</v>
      </c>
    </row>
    <row r="335" spans="1:5" x14ac:dyDescent="0.25">
      <c r="A335" t="s">
        <v>871</v>
      </c>
      <c r="B335" t="s">
        <v>753</v>
      </c>
      <c r="C335">
        <v>1.0851</v>
      </c>
      <c r="D335" t="s">
        <v>872</v>
      </c>
      <c r="E335" t="s">
        <v>873</v>
      </c>
    </row>
    <row r="336" spans="1:5" x14ac:dyDescent="0.25">
      <c r="A336" t="s">
        <v>727</v>
      </c>
      <c r="B336" t="s">
        <v>728</v>
      </c>
      <c r="C336" t="s">
        <v>874</v>
      </c>
      <c r="D336" t="s">
        <v>875</v>
      </c>
      <c r="E336" t="s">
        <v>876</v>
      </c>
    </row>
    <row r="337" spans="1:5" x14ac:dyDescent="0.25">
      <c r="A337" t="s">
        <v>877</v>
      </c>
      <c r="B337" t="s">
        <v>878</v>
      </c>
      <c r="C337">
        <v>0.23250000000000001</v>
      </c>
      <c r="D337" t="s">
        <v>879</v>
      </c>
      <c r="E337" t="s">
        <v>880</v>
      </c>
    </row>
    <row r="338" spans="1:5" x14ac:dyDescent="0.25">
      <c r="A338" t="s">
        <v>881</v>
      </c>
      <c r="B338" t="s">
        <v>882</v>
      </c>
      <c r="C338" s="75">
        <v>4.2900000000000002E-4</v>
      </c>
      <c r="D338" t="s">
        <v>707</v>
      </c>
      <c r="E338" t="s">
        <v>883</v>
      </c>
    </row>
    <row r="339" spans="1:5" x14ac:dyDescent="0.25">
      <c r="A339" t="s">
        <v>884</v>
      </c>
      <c r="B339" t="s">
        <v>885</v>
      </c>
      <c r="C339">
        <v>2</v>
      </c>
      <c r="D339" t="s">
        <v>886</v>
      </c>
      <c r="E339" t="s">
        <v>887</v>
      </c>
    </row>
    <row r="342" spans="1:5" x14ac:dyDescent="0.25">
      <c r="A342" s="78" t="s">
        <v>888</v>
      </c>
      <c r="B342" s="54"/>
      <c r="C342" s="54"/>
      <c r="D342" s="54"/>
      <c r="E342" s="54"/>
    </row>
    <row r="343" spans="1:5" x14ac:dyDescent="0.25">
      <c r="A343" s="79" t="s">
        <v>239</v>
      </c>
      <c r="B343" s="79" t="s">
        <v>889</v>
      </c>
      <c r="C343" s="79" t="s">
        <v>890</v>
      </c>
      <c r="D343" s="79" t="s">
        <v>891</v>
      </c>
      <c r="E343" s="79" t="s">
        <v>2</v>
      </c>
    </row>
    <row r="344" spans="1:5" x14ac:dyDescent="0.25">
      <c r="A344" t="s">
        <v>892</v>
      </c>
      <c r="B344" t="s">
        <v>893</v>
      </c>
      <c r="C344" t="s">
        <v>894</v>
      </c>
      <c r="D344">
        <v>21</v>
      </c>
      <c r="E344" t="s">
        <v>895</v>
      </c>
    </row>
    <row r="345" spans="1:5" x14ac:dyDescent="0.25">
      <c r="A345" t="s">
        <v>896</v>
      </c>
      <c r="B345" t="s">
        <v>897</v>
      </c>
      <c r="C345" t="s">
        <v>898</v>
      </c>
      <c r="D345" t="s">
        <v>899</v>
      </c>
      <c r="E345" t="s">
        <v>900</v>
      </c>
    </row>
    <row r="346" spans="1:5" x14ac:dyDescent="0.25">
      <c r="A346" t="s">
        <v>901</v>
      </c>
      <c r="B346" t="s">
        <v>902</v>
      </c>
      <c r="C346" t="s">
        <v>903</v>
      </c>
      <c r="D346" t="s">
        <v>904</v>
      </c>
      <c r="E346" t="s">
        <v>905</v>
      </c>
    </row>
    <row r="347" spans="1:5" x14ac:dyDescent="0.25">
      <c r="A347" t="s">
        <v>906</v>
      </c>
      <c r="B347" t="s">
        <v>907</v>
      </c>
      <c r="C347" t="s">
        <v>908</v>
      </c>
      <c r="D347" t="s">
        <v>909</v>
      </c>
      <c r="E347" t="s">
        <v>910</v>
      </c>
    </row>
    <row r="348" spans="1:5" x14ac:dyDescent="0.25">
      <c r="A348" t="s">
        <v>911</v>
      </c>
      <c r="B348" t="s">
        <v>912</v>
      </c>
      <c r="C348" t="s">
        <v>913</v>
      </c>
      <c r="D348" t="s">
        <v>914</v>
      </c>
      <c r="E348" t="s">
        <v>915</v>
      </c>
    </row>
    <row r="349" spans="1:5" x14ac:dyDescent="0.25">
      <c r="A349" t="s">
        <v>916</v>
      </c>
      <c r="B349" t="s">
        <v>917</v>
      </c>
      <c r="C349" t="s">
        <v>918</v>
      </c>
      <c r="D349" t="s">
        <v>919</v>
      </c>
      <c r="E349" t="s">
        <v>920</v>
      </c>
    </row>
    <row r="350" spans="1:5" x14ac:dyDescent="0.25">
      <c r="A350" t="s">
        <v>921</v>
      </c>
      <c r="B350" s="24">
        <v>46183</v>
      </c>
      <c r="C350" s="24">
        <v>46275</v>
      </c>
      <c r="D350">
        <v>3</v>
      </c>
      <c r="E350" t="s">
        <v>922</v>
      </c>
    </row>
    <row r="353" spans="1:5" x14ac:dyDescent="0.25">
      <c r="A353" s="80" t="s">
        <v>923</v>
      </c>
      <c r="B353" s="54"/>
      <c r="C353" s="54"/>
      <c r="D353" s="54"/>
      <c r="E353" s="54"/>
    </row>
    <row r="354" spans="1:5" x14ac:dyDescent="0.25">
      <c r="A354" s="80" t="s">
        <v>924</v>
      </c>
      <c r="B354" s="54"/>
      <c r="C354" s="54"/>
      <c r="D354" s="54"/>
      <c r="E354" s="54"/>
    </row>
  </sheetData>
  <mergeCells count="48">
    <mergeCell ref="A278:E278"/>
    <mergeCell ref="A295:E295"/>
    <mergeCell ref="A328:E328"/>
    <mergeCell ref="A342:E342"/>
    <mergeCell ref="A353:E353"/>
    <mergeCell ref="A354:E354"/>
    <mergeCell ref="A230:E230"/>
    <mergeCell ref="A237:E237"/>
    <mergeCell ref="A247:E247"/>
    <mergeCell ref="A254:E254"/>
    <mergeCell ref="A262:E262"/>
    <mergeCell ref="A267:E267"/>
    <mergeCell ref="A200:E200"/>
    <mergeCell ref="A201:E201"/>
    <mergeCell ref="A203:E203"/>
    <mergeCell ref="A204:E204"/>
    <mergeCell ref="A206:E206"/>
    <mergeCell ref="A219:E219"/>
    <mergeCell ref="A193:E193"/>
    <mergeCell ref="A194:E194"/>
    <mergeCell ref="A196:E196"/>
    <mergeCell ref="A197:E197"/>
    <mergeCell ref="A198:E198"/>
    <mergeCell ref="A199:E199"/>
    <mergeCell ref="A174:E174"/>
    <mergeCell ref="A187:E187"/>
    <mergeCell ref="A189:E189"/>
    <mergeCell ref="A190:E190"/>
    <mergeCell ref="A191:E191"/>
    <mergeCell ref="A192:E192"/>
    <mergeCell ref="A110:E110"/>
    <mergeCell ref="A128:E128"/>
    <mergeCell ref="A140:E140"/>
    <mergeCell ref="A142:E142"/>
    <mergeCell ref="A152:E152"/>
    <mergeCell ref="A163:E163"/>
    <mergeCell ref="A72:E72"/>
    <mergeCell ref="A84:E88"/>
    <mergeCell ref="A90:E90"/>
    <mergeCell ref="A91:E91"/>
    <mergeCell ref="A93:E93"/>
    <mergeCell ref="A104:E104"/>
    <mergeCell ref="A20:E20"/>
    <mergeCell ref="A22:E22"/>
    <mergeCell ref="A33:E33"/>
    <mergeCell ref="A39:E39"/>
    <mergeCell ref="A52:E52"/>
    <mergeCell ref="A61:E6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From Homosapiens To Homo[DATA]</dc:creator>
  <cp:lastModifiedBy>From Homosapiens To Homo[DATA]</cp:lastModifiedBy>
  <dcterms:created xsi:type="dcterms:W3CDTF">2026-04-23T11:00:20Z</dcterms:created>
  <dcterms:modified xsi:type="dcterms:W3CDTF">2026-04-23T11:00:20Z</dcterms:modified>
</cp:coreProperties>
</file>