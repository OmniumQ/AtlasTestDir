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13_ncr:1_{286A6D6A-3C6F-4588-B577-FEFF6BB9D0F9}" xr6:coauthVersionLast="47" xr6:coauthVersionMax="47" xr10:uidLastSave="{00000000-0000-0000-0000-000000000000}"/>
  <bookViews>
    <workbookView xWindow="-120" yWindow="-120" windowWidth="29040" windowHeight="15720" xr2:uid="{A03598E7-993A-4E36-97F5-2D76836EE3D8}"/>
  </bookViews>
  <sheets>
    <sheet name="Papirüs1" sheetId="1" r:id="rId1"/>
    <sheet name="Hayaller_Gerçekler_Tuhaflık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6" i="2" l="1"/>
  <c r="H246" i="2"/>
  <c r="G246" i="2"/>
  <c r="F246" i="2"/>
  <c r="E246" i="2"/>
  <c r="I245" i="2"/>
  <c r="H245" i="2"/>
  <c r="G245" i="2"/>
  <c r="F245" i="2"/>
  <c r="E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I189" i="2"/>
  <c r="H189" i="2"/>
  <c r="G189" i="2"/>
  <c r="F189" i="2"/>
  <c r="E189" i="2"/>
  <c r="I188" i="2"/>
  <c r="H188" i="2"/>
  <c r="G188" i="2"/>
  <c r="F188" i="2"/>
  <c r="E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2" i="2"/>
  <c r="H132" i="2"/>
  <c r="G132" i="2"/>
  <c r="F132" i="2"/>
  <c r="E132" i="2"/>
  <c r="I131" i="2"/>
  <c r="H131" i="2"/>
  <c r="G131" i="2"/>
  <c r="F131" i="2"/>
  <c r="E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</calcChain>
</file>

<file path=xl/sharedStrings.xml><?xml version="1.0" encoding="utf-8"?>
<sst xmlns="http://schemas.openxmlformats.org/spreadsheetml/2006/main" count="1377" uniqueCount="1318">
  <si>
    <t>No</t>
  </si>
  <si>
    <t>UST Nedir?</t>
  </si>
  <si>
    <t>UST Ne Değildir?</t>
  </si>
  <si>
    <t>Etki Alanı ve Öngörülen Değişim (Örnekli)</t>
  </si>
  <si>
    <t>Deterministik bir doğa yasasıdır.</t>
  </si>
  <si>
    <t>İstatistiksel bir tahmin değildir.</t>
  </si>
  <si>
    <t>Kozmoloji: Karanlık Enerjinin ne olduğu "tahmin edilmez", Ns,q​ ile %0.1 hatayla hesaplanır.</t>
  </si>
  <si>
    <t>17-Boyutlu topolojik bir süzgeçtir.</t>
  </si>
  <si>
    <t>Hayali boyutlar kurgusu değildir.</t>
  </si>
  <si>
    <t>Teorik Fizik: QFT sonsuzlukları "traşlanmaz" (renormalizasyon), 1/17 süzgeciyle Kanal C'ye tahliye edilir.</t>
  </si>
  <si>
    <t>GR ve QFT'nin geometrik mührüdür.</t>
  </si>
  <si>
    <t>Mevcut fiziğin reddi değildir.</t>
  </si>
  <si>
    <t>Birleşik Alanlar: Makro (Galaksi) ve Mikro (Atom) tek bir vites kutusunda (Vb​) birleşir.</t>
  </si>
  <si>
    <t>Sıfır serbest parametreli bir modeldir.</t>
  </si>
  <si>
    <t>Veriye uydurulmuş (fitting) değildir.</t>
  </si>
  <si>
    <t>Bilim Felsefesi: "Uydurma sabitler" dönemi biter; evrenin tüm değerleri geometrik zorunluluk olur.</t>
  </si>
  <si>
    <t>Seeley-DeWitt (1/17) ısıl çekirdeğidir.</t>
  </si>
  <si>
    <t>Yaklaşık bir hesaplama değildir.</t>
  </si>
  <si>
    <t>Matematik: Manifold üzerindeki spektral analiz, gürültüyü tam sayısal hassasiyetle ayırır.</t>
  </si>
  <si>
    <t>Evrenin "Master Register" işletim sistemidir.</t>
  </si>
  <si>
    <t>Soyut bir akademik fantezi değildir.</t>
  </si>
  <si>
    <t>Bilişim: Evrenin "kaynak kodu" okunur; doğa olayları birer algoritma gibi yönetilir.</t>
  </si>
  <si>
    <t>Karanlık Enerjiyi geometrik türetir.</t>
  </si>
  <si>
    <t>"Belirsiz" bir kozmolojik sabit değildir.</t>
  </si>
  <si>
    <t>Gözlemsel Astronomi: Planck ve Euclid verileri arasındaki çelişki "vites farkı" olarak çözülür.</t>
  </si>
  <si>
    <t>Hubble Gerilimi'ni vites farkıyla çözer.</t>
  </si>
  <si>
    <t>Ölçüm hatası açıklaması değildir.</t>
  </si>
  <si>
    <t>Astrofizik: Uzak ve yakın evren arasındaki genişleme farkı deterministik olarak eşitlenir.</t>
  </si>
  <si>
    <t>P=NP karmaşıklığını "çöküş"le çözer.</t>
  </si>
  <si>
    <t>Deneme-yanılma algoritması değildir.</t>
  </si>
  <si>
    <t>Kriptografi: Şifreler "denenerek" kırılmaz; yanlış ihtimaller Kanal C'ye döküldüğü için tek cevap kalır.</t>
  </si>
  <si>
    <t>Omnium (Sıfır) başlangıç noktasıdır.</t>
  </si>
  <si>
    <t>Dairesel bir mantık döngüsü değildir.</t>
  </si>
  <si>
    <t>Ontoloji: Her şeyin "Sıfır"dan (O1​) nasıl manifeste olduğu matematiksel silsileyle izlenir.</t>
  </si>
  <si>
    <t>Gürültüyü Kanal C'ye tahliye eden hattır.</t>
  </si>
  <si>
    <t>Belirsizliği kadere bağlayan bir şans değildir.</t>
  </si>
  <si>
    <t>Haberleşme: Sinyaldeki gürültü filtrelenmez, doğrudan "yok edilir"; 6G/7G'de sıfır gecikme sağlanır.</t>
  </si>
  <si>
    <t>Ns,q​≈0.6335 evrensel mührüdür.</t>
  </si>
  <si>
    <t>Esnek veya keyfi bir katsayı değildir.</t>
  </si>
  <si>
    <t>Metroloji: Tüm ölçü birimleri (metre, saniye) bu mühür sabiti üzerinden yeniden tanımlanır.</t>
  </si>
  <si>
    <t>4-Kasa (4-Quadrant) ölçeklendirmesidir.</t>
  </si>
  <si>
    <t>Sadece mikro veya makro bir teori değildir.</t>
  </si>
  <si>
    <t>Mühendislik: Mikro-çipteki bir tasarım hatası, makro-sistemde yaratacağı etkiyle eş zamanlı süzülür.</t>
  </si>
  <si>
    <t>Donanımsal topolojik hata düzeltmedir.</t>
  </si>
  <si>
    <t>Yazılımsal "yedek kübit" yaması değildir.</t>
  </si>
  <si>
    <t>Kuantum Bilgisayarlar: 10.000 kübit yerine 1 kübit yetecek; işlemciler ısınmadan çalışacak.</t>
  </si>
  <si>
    <t>Evrensel Kuantum Saat (UQS) sistemidir.</t>
  </si>
  <si>
    <t>Gözlemciye bağlı göreli bir yanılsama değildir.</t>
  </si>
  <si>
    <t>Navigasyon: UPS sayesinde derin uzayda "zaman kayması" olmadan milimetrik konum bulunur.</t>
  </si>
  <si>
    <t>Ontolojik Sayı Doğrusu (ONL) sistemidir.</t>
  </si>
  <si>
    <t>Klasik sayı sistemlerinin tekrarı değildir.</t>
  </si>
  <si>
    <t>Yapay Zeka: AI, veriyi klasik sayılarla değil, ONL fazlarıyla işler; "halüsinasyon" görmesi imkansızlaşır.</t>
  </si>
  <si>
    <t>Yanlışlanabilir (Euclid 2028) katı bir yapıdır.</t>
  </si>
  <si>
    <t>İspat gerektirmeyen metafizik değildir.</t>
  </si>
  <si>
    <t>Akademi: Euclid uydusu 0.6857 değerini verdiğinde UST "Tek Geçerli Model" olarak mühürlenir.</t>
  </si>
  <si>
    <t>Kaostan determinizme geçiş ana planıdır.</t>
  </si>
  <si>
    <t>"Zar atan" bir evren modeli değildir.</t>
  </si>
  <si>
    <t>Risk Yönetimi: Finansal krizler veya sistem çöküşleri "beklenmedik" olmaktan çıkar, önceden mühürlenir.</t>
  </si>
  <si>
    <t>Bilginin kara delikte mühürlenmesidir.</t>
  </si>
  <si>
    <t>Bilginin yok olduğu bir paradoks değildir.</t>
  </si>
  <si>
    <t>Bilgi Teorisi: Evrendeki hiçbir veri kaybolmaz; kara delikler evrenin "arşiv (Kanal C)" girişleridir.</t>
  </si>
  <si>
    <t>İnsanlığı "doğrudan bilmeye" taşıyan köprüdür.</t>
  </si>
  <si>
    <t>Sihir veya mucize beklentisi değildir.</t>
  </si>
  <si>
    <t>Toplum: Deneme-yanılma maliyeti biter; insanlık kaynaklarını sadece "kesin sonuçlara" harcar.</t>
  </si>
  <si>
    <t>TOm​ WKB tünelleme eşiğidir.</t>
  </si>
  <si>
    <t>Olasılıksal bir bariyer değildir.</t>
  </si>
  <si>
    <t>Sismoloji: Fay hattındaki stres TOm​ eşiğini aştığı an deprem "olasılık" değil "kesinlik" olur.</t>
  </si>
  <si>
    <t>Vb​≈1.1954 harmonik dişli oranıdır.</t>
  </si>
  <si>
    <t>Rastgele bir genişleme oranı değildir.</t>
  </si>
  <si>
    <t>Enerji: Elektrikli araç menzili bu oranla %19.54 artar; sürtünme topolojik olarak engellenir.</t>
  </si>
  <si>
    <t>Faz kilitleme (Phase Locking) işlemidir.</t>
  </si>
  <si>
    <t>Dalga fonksiyonunun rastgele çökmesi değildir.</t>
  </si>
  <si>
    <t>Lazer Teknolojisi: Işık mühürlenerek maddeyi "kesmek" yerine "atomik olarak yeniden düzenlemek" için kullanılır.</t>
  </si>
  <si>
    <t>Ortogonal İzdüşüm (Projection) motorudur.</t>
  </si>
  <si>
    <t>Lineer olmayan karmaşık bir kaos değildir.</t>
  </si>
  <si>
    <t>Veri Bilimi: Trilyonlarca terabayt veri, 1/17 izdüşümüyle "kayıpsız" olarak kilobaytlara sıkıştırılır.</t>
  </si>
  <si>
    <t>Topolojik Yalıtkanlık mimarisidir.</t>
  </si>
  <si>
    <t>Klasik bir izolasyon tekniği değildir.</t>
  </si>
  <si>
    <t>Malzeme Bilimi: Oda sıcaklığında süper iletkenler yapılır; enerji hatlarında kayıp sıfıra iner.</t>
  </si>
  <si>
    <t>Lorentz Vakumu stabilizasyonudur.</t>
  </si>
  <si>
    <t>Boşluğun boş olduğu varsayımı değildir.</t>
  </si>
  <si>
    <t>Vakum Enerjisi: Uzay boşluğundaki "itici güç" (Kanal Q) itki motoru olarak kullanılıp yakıtsız seyahat yapılır.</t>
  </si>
  <si>
    <t>Dirac-Clifford cebiri matrisidir.</t>
  </si>
  <si>
    <t>Basit bir dört işlem matematiği değildir.</t>
  </si>
  <si>
    <t>Robotik: Robotlar 17 boyutlu hareket serbestliğiyle insan kasından daha esnek ve deterministik hareket eder.</t>
  </si>
  <si>
    <t>DNA Heterozigot mühürleme oranıdır.</t>
  </si>
  <si>
    <t>Biyolojik bir tesadüf değildir.</t>
  </si>
  <si>
    <t>Genetik: Hastalıklı genlerin gürültüsü süzülür; kişiye özel "sıfır hatalı" proteinler üretilir.</t>
  </si>
  <si>
    <t>Beyaz Delik / Kara Delik spektrum oranıdır.</t>
  </si>
  <si>
    <t>Sadece tek taraflı bir çöküş değildir.</t>
  </si>
  <si>
    <t>Uzay Madenciliği: Madde Kanal C üzerinden tünellenerek evrenin bir ucundan diğerine anlık transfer edilir.</t>
  </si>
  <si>
    <t>RA​ Kanal Sızıntı Sabitidir.</t>
  </si>
  <si>
    <t>Bir ölçüm hatası veya "noise" değildir.</t>
  </si>
  <si>
    <t>Siber Güvenlik: Sızıntı miktarı sabitlendiği için hacklenemeyen "fiziksel mühürlü" ağlar kurulur.</t>
  </si>
  <si>
    <t>Bianchi özdeşliği modifikasyonudur.</t>
  </si>
  <si>
    <t>Einstein denkleminin çöpe atılması değildir.</t>
  </si>
  <si>
    <t>Ulaşım: Otonom araçlar birbirini Ns,q​ fazıyla görür; kaza yapmak fiziksel olarak imkansızlaşır.</t>
  </si>
  <si>
    <t>Isı enerjisinin Kanal C'ye deşarjıdır.</t>
  </si>
  <si>
    <t>Klasik bir soğutma sistemi değildir.</t>
  </si>
  <si>
    <t>Havacılık: Jet motorları ısınmaz; atık ısı Omnium'a tahliye edildiği için radar izi (IR) bırakmaz.</t>
  </si>
  <si>
    <t>Wheeler-DeWitt dalga fonksiyonu çözümüdür.</t>
  </si>
  <si>
    <t>Zamanın başlangıcı paradoksu değildir.</t>
  </si>
  <si>
    <t>Felsefe: "Neden bir şey var da hiçbir şey yok?" sorusu, O1​ sızıntısı olarak yanıtlanır.</t>
  </si>
  <si>
    <t>DOF=17 serbestlik derecesidir.</t>
  </si>
  <si>
    <t>4 veya 11 boyut kısıtlaması değildir.</t>
  </si>
  <si>
    <t>Simülasyon: Evren simülasyonları 17 parametreyle tam hassasiyette (God Mode) çalıştırılır.</t>
  </si>
  <si>
    <t>Spektral Normalizasyon kuralıdır.</t>
  </si>
  <si>
    <t>Sayısal bir yuvarlama değildir.</t>
  </si>
  <si>
    <t>Kimya: Yeni elementlerin ve moleküllerin kararlılık limitleri laboratuvardan önce UST ile belirlenir.</t>
  </si>
  <si>
    <t>Entropi Korunumu (ΔS≈0) yasasıdır.</t>
  </si>
  <si>
    <t>Entropinin sürekli arttığı bir çaresizlik değildir.</t>
  </si>
  <si>
    <t>Ekonomi: Kaynak israfı (ekonomik entropi) deterministik lojistikle sıfırlanır; gıda ucuzlar.</t>
  </si>
  <si>
    <t>Fibonacci ortalaması stabilizasyonudur.</t>
  </si>
  <si>
    <t>Estetik bir oran arayışı değildir.</t>
  </si>
  <si>
    <t>Mimari: Binalar evrenin titreşimine (Vb​) kilitlenir; en şiddetli depremde bile rezonansla ayakta kalır.</t>
  </si>
  <si>
    <t>Shannon Bilgi Limiti aşımıdır.</t>
  </si>
  <si>
    <t>Verinin kaybolabileceği bir iletişim değildir.</t>
  </si>
  <si>
    <t>Bulut Depolama: Tüm insanlık tarihi tek bir atomun topolojik fazlarına mühürlenip saklanabilir.</t>
  </si>
  <si>
    <t>Hadronik Köprü (T11​) yapısıdır.</t>
  </si>
  <si>
    <t>Atom çekirdeğinin sadece kuvvetle tutulması değildir.</t>
  </si>
  <si>
    <t>Nükleer Enerji: Nükleer atık üretmeyen, topolojik olarak mühürlenmiş temiz füzyon reaktörleri yapılır.</t>
  </si>
  <si>
    <t>Evrensel Senkronizasyon Protokolüdür.</t>
  </si>
  <si>
    <t>Yerel saatlerin uyuşturulması değildir.</t>
  </si>
  <si>
    <t>Finans: Küresel borsa işlemleri "mühürlü an" (UQS) ile yapılır; manipülasyon ve gecikme biter.</t>
  </si>
  <si>
    <t>Termodinamik Sönümleme (a2​) etkisidir.</t>
  </si>
  <si>
    <t>Enerjinin sadece şekil değiştirmesi değildir.</t>
  </si>
  <si>
    <t>Elektronik: Telefon bataryaları kimyasal olarak eskimez; 10 yıl boyunca ilk günkü kapasitesini korur.</t>
  </si>
  <si>
    <t>Kuantum Hall Etkisi mühürlemesidir.</t>
  </si>
  <si>
    <t>Sadece laboratuvar bir gözlemi değildir.</t>
  </si>
  <si>
    <t>Donanım: İşlemciler içindeki elektronlar "topolojik yollardan" sürtünmesiz akar; fan sesi tarihe karışır.</t>
  </si>
  <si>
    <t>WKB Genlik Korumasıdır.</t>
  </si>
  <si>
    <t>Dalganın sönümlenip yok olması değildir.</t>
  </si>
  <si>
    <t>Tıp (MRI): Görüntüleme cihazları 1/17 süzgeciyle hücrenin içini gürültüsüz, atomik netlikte görür.</t>
  </si>
  <si>
    <t>Cl(1,3)⊕O1​ Manifoldudur.</t>
  </si>
  <si>
    <t>Soyut bir cebirsel yapıdan ibaret değildir.</t>
  </si>
  <si>
    <t>Uzay Araştırmaları: Uzay araçları "boşlukta" değil, manifoldun "vites hatlarında" sörf yaparak ilerler.</t>
  </si>
  <si>
    <t>Master Register Karar Mekanizmasıdır.</t>
  </si>
  <si>
    <t>Bir yapay zeka "karar ağacı" değildir.</t>
  </si>
  <si>
    <t>Hukuk/Adalet: Kanıtlar ve veriler UST ile süzülür; "şüphe" Kanal C'ye atılır, mutlak gerçek mühürlenir.</t>
  </si>
  <si>
    <t>Topolojik Faz Kayması düzeltmesidir.</t>
  </si>
  <si>
    <t>Rastgele bir kalibrasyon değildir.</t>
  </si>
  <si>
    <t>Telekomünikasyon: Uydu iletişiminde "hava muhalefeti" gürültüsü 1/17 ile silinir; fırtınada bile kesintisiz HD yayın.</t>
  </si>
  <si>
    <t>P(Q):P(O)=3:2 Denge Oranıdır.</t>
  </si>
  <si>
    <t>Basit bir olasılık dağılımı değildir.</t>
  </si>
  <si>
    <t>Ekoloji: Doğadaki enerji dengesi bu oranla izlenir; iklim değişikliği deterministik olarak durdurulur.</t>
  </si>
  <si>
    <t>Mühür Ayı (17 periyot) takvimidir.</t>
  </si>
  <si>
    <t>Ay veya Güneş'in keyfi takibi değildir.</t>
  </si>
  <si>
    <t>Eğitim: Öğrenme süreçleri insan beyninin mühürleme döngülerine (17'li periyot) göre optimize edilir.</t>
  </si>
  <si>
    <t>Kuantum Dekoherans Engelleyicidir.</t>
  </si>
  <si>
    <t>Dış dünyadan soyutlanmış bir fanus değildir.</t>
  </si>
  <si>
    <t>Gelecek Teknolojisi: İnsan beyni ve makine arasında "mühürlü" ve gürültüsüz veri transferi (BCI) yapılır.</t>
  </si>
  <si>
    <t>Determinizm Mührüdür.</t>
  </si>
  <si>
    <t>Sihir, loto veya şans oyunu değildir.</t>
  </si>
  <si>
    <t>Uygarlık: İnsanlık "ihtimallerin kölesi" olmaktan çıkıp, evrenin "karar verici mimarı" seviyesine yükselir.</t>
  </si>
  <si>
    <t>TABLO 1 — UST İDDİALARI BAZINDA ALAN, MESLEK VE DEĞİŞİM ANALİZİ</t>
  </si>
  <si>
    <t>#</t>
  </si>
  <si>
    <t>Alan</t>
  </si>
  <si>
    <t>Etkilenen Meslek(ler)</t>
  </si>
  <si>
    <t>Günümüz Durumu (2025)</t>
  </si>
  <si>
    <t>UST İddiasının Öngördüğü Değişim</t>
  </si>
  <si>
    <t>Günümüz Teknolojiyle Uygulanabilirlik</t>
  </si>
  <si>
    <t>Somut Örnek / Uygulama</t>
  </si>
  <si>
    <t>Risk / Engel</t>
  </si>
  <si>
    <t>Kuantum Bilgisayar Donanımı</t>
  </si>
  <si>
    <t>Kuantum Donanım Mühendisi, Kriyo-Fizikçi</t>
  </si>
  <si>
    <t>Kübit sayısı 1.000—10.000 arasında; hata oranları %1–5. İBM, Google, Intel hâlâ hata düzetme için fiziksel kübit oranını 1:1000 tutuyor.</t>
  </si>
  <si>
    <t>UST: Topolojik yapı sayesinde 1 kübit yeterli olacak, ısınma sıfırlanacak. Kriyo-mühendislik görevleri ortadan kalkar; donanım mimaristliği temelden yeniden yazılır.</t>
  </si>
  <si>
    <t>Düşük — Topolojik kübit (Microsoft Majorana) henüz laboratuvar düzeyinde. Pratik ticari kullanım yok. UST bu iddianın çok ötesini gerektiriyor.</t>
  </si>
  <si>
    <t>Microsoft’ın Majorana projesi topolojik kübit test ediyor. UST iddiaları bu projeye entegre edilseydi mühendis profili “riyo-fizikçi” yerine “topoloji mimaristi” olurdu.</t>
  </si>
  <si>
    <t>Yapay Zeka / Veri Bilimi</t>
  </si>
  <si>
    <t>Veri Bilimci, ML Mühendisi, AI Güvenlik Uzmanı</t>
  </si>
  <si>
    <t>LLM’ler %3–10 hallisinâsyon üretiyor. Sayısal temsil IEEE-754 float. Belirsizlik yönetimi için stokastik teknikler (dropout, bayesian NN) kullanılıyor.</t>
  </si>
  <si>
    <t>UST: ONL faz sistemi hallisinâsyonu matematiksel olarak imkânsızlaştırır. ML mimaristi “ONL-tabanlı sayı teorisi mühendisi” konumuna geçer; stokastik uzmanlar işsiz kalır.</t>
  </si>
  <si>
    <t>Orta — Sayı tabanını değiştirmek teorik olarak mümkün (p-adik sayılar, interval aritmeği). Ancak ONL’nin iddia ettiği sifir hata henüz hiçbir sistemde gösterilmedi.</t>
  </si>
  <si>
    <t>Wolfram Fizik Projesi veya DeepMind AlphaProof gibi deterministik matematik motorları bu yöne adım atıyor; hallisinâsyonu azaltıyor ama sıfırlayımıyor.</t>
  </si>
  <si>
    <t>ONL’nin resmî matematiksel tanımı yayınlanmadı. Bağımsız doğrulama olmadan endüstri benimsemez.</t>
  </si>
  <si>
    <t>Telekomünikasyon / 6G</t>
  </si>
  <si>
    <t>RF Mühendisi, Sinyal İşleme Uzmanı, Ağ Mimaristi</t>
  </si>
  <si>
    <t>5G latency 1ms, paket kaybı %0.01. Gürültü filtreleme Shannon limitine dayalı. 6G ARİGE aşamasında (Ericsson, Huawei, Samsung).</t>
  </si>
  <si>
    <t>UST: 1/17 süzgeci gürültüye sıfır tolerans tanır. RF mühendislerinin filtre tasarımı görevi otomatikleşir; yeni meslek “topolojik kanal mimaristi” olur.</t>
  </si>
  <si>
    <t>Orta-Düşük — Shannon limitinin aşılması bilgi teorisiyle çelişir. Gürültüyü 'tahliye' eden bir kanal matematiksel olarak gösterilmedi.</t>
  </si>
  <si>
    <t>Ericsson’ın 6G projelerinde kuantum kanal kodlaması araştırılıyor; UST’nin kanal C konseptine en yakın gerçek çalışma bu.</t>
  </si>
  <si>
    <t>Shannon teoremi deneysel olarak aşılamamış. UST’nin kanal C iddiası bağımsız dönemün sonucuna bağlı.</t>
  </si>
  <si>
    <t>Enerji / Süper İletkenlik</t>
  </si>
  <si>
    <t>Malzeme Bilimcisi, Enerji Mühendisi, Elektrik Ağ Uzmanı</t>
  </si>
  <si>
    <t>Oda sıcaklığında süper iletken yok. En iyi sonuç 2023 LK-99 iddiası çürütüldü. Iletim kayıpları %6–10.</t>
  </si>
  <si>
    <t>UST: Topolojik yalıtkanlık mimarisiyle oda sıcaklığında süper iletken üretilir. Kriyo-mühendis görevi biter; malzeme mimaristi ve topoloji mühendisi öne çıkar.</t>
  </si>
  <si>
    <t>Düşük — Topolojik süper iletkenlik küçük örneklerde gösterildi ama oda sıcaklığı iddiaları (LK-99) hepsi çürütüldü. Büyük ölçek hâlâ aşılamadı.</t>
  </si>
  <si>
    <t>MIT ve Stanford’ın topolojik malzeme laboratuvarları (kagome metal, topological insulators) UST mantığına paralel çalışıyor; sonuç hâlâ sneak-peak düzeyinde.</t>
  </si>
  <si>
    <t>Tekrarlanabilir deneysel kanıt yok. LK-99 benzeri vakalara karşı sektör temkinli; yatırımcı güveni kırılgan.</t>
  </si>
  <si>
    <t>Tıp / MRI ve Görüntüleme</t>
  </si>
  <si>
    <t>Radyoloji Uzmanı, MRI Fizikçisi, Tıbbi Cihaz Mühendisi</t>
  </si>
  <si>
    <t>7T MRI hücre detayını 0.1mm’ye iniyor. Gürültü filtresi yazilimsal (deep learning tabanlı). Cihaz maliyeti $3-7M.</t>
  </si>
  <si>
    <t>UST: 1/17 süzgeci gürültüyü donanımsal olarak siler; atomik netlikte görüntü. Radyologun ‘belirsiz alan’ kararları ortadan kalkar. AI radyoloji + UST filtresi hibrit uzman profili doğar.</t>
  </si>
  <si>
    <t>Orta — 1/17 sayısal filtre gürültü azaltma için uygulanabilir; GE Healthcare ve Siemens benzer filtre mimarileri araştırıyor. Ancak ‘atomik netlik’ iddiası mevcut fiziksel limitleri aşıyor.</t>
  </si>
  <si>
    <t>GE HealthCare’in AIR Recon DL sistemi MRI gürültüselü zaten %40 azaltıyor. UST ile bu sistemin birleştirilmesi teorik bir yol haritası sunuyor.</t>
  </si>
  <si>
    <t>FDA/CE sertifika süreci. UST’ye özgü filtre donanımı henüz prototip aşamasında bile değil.</t>
  </si>
  <si>
    <t>Sismoloji / Deprem Tahmini</t>
  </si>
  <si>
    <t>Sismolog, Jeofizikçi, Risk Analisti</t>
  </si>
  <si>
    <t>Deprem yı tahmini 72 saat öncesine kadar olasılıksal; kesin zaman-yer tahmini henüz yok. USGS ve Kandilli çoklu sensör verisiyle çalışıyor.</t>
  </si>
  <si>
    <t>UST: Fay hattı gerilimi TOm eşiğini aştığında deprem ‘kesin’ sayılır. Sismologun olasılıksal yorumu kaldırılır; yeni meslek ‘eik anlık izleme mühendisi’ olur.</t>
  </si>
  <si>
    <t>Düşük — Eşik tabanlı tahmin modelleri mevcut (GPS+InSAR+IoT sensör). Ancak ‘kesinlik’ iddiası kaotik non-linear sistemleri deterministik kabul ediyor; sismolojide bu gösterilmedi.</t>
  </si>
  <si>
    <t>Google’un ShakeAlert sistemi ve Stanford’ın ETAS modeli eşik bazlı. Japonya’nın Hi-net ağı gerçek zamanlı izleme yapıyor — UST’nin önerdigi mimariyle kısmi örtüşme var.</t>
  </si>
  <si>
    <t>Deprem dinamikleri kaotik; deterministik eşik modeller ciddi yanlış alarm riski taşır. Toplum paniği potansiyel ciddi ekonomik zarar.</t>
  </si>
  <si>
    <t>Kriptografi / Siber Güvenlik</t>
  </si>
  <si>
    <t>Kriptograf, Siber Güvenlik Uzmanı, Post-Quantum Kriptog</t>
  </si>
  <si>
    <t>RSA-2048 ticari standar; Shor algoritması kuantum bilgisayarlarla teorik tehdit. NIST post-kuantum standartları CRYSTALS-Kyber/Dilithium olarak belirlendi (2024).</t>
  </si>
  <si>
    <t>UST: P=NP çöküşle tek doğru cevap kalır; tüm kriptografik sınır değişir. Post-kuantum uzmanları bile eski olur. Yeni meslek ‘deterministik kanal güvenliği mimaristi’.</t>
  </si>
  <si>
    <t>Çok Düşük — P=NP’nin çözümsüz olduğunun kanıtı yok ama çözülmesi de beklenmiyor. Clay Matematik Enstitüsü’nün Milenyum Problemi. Akademik konsensüs P≠NP yönünde.</t>
  </si>
  <si>
    <t>NIST post-kuantum standartları bu riski zâten adresliyor. UST’nin P=NP iddiası ek bir niş arıyor; ancak mevcut standartları geçersiz kılacak kanıt yok.</t>
  </si>
  <si>
    <t>P=NP’nin ispatlanması tüm dijital altyapıyı çökertır. Bu seviyede bir iddia bağımsız matematiksel ispat gerektirir, Euclid uydusuyla değil.</t>
  </si>
  <si>
    <t>Otonom Araç / Ulaşım</t>
  </si>
  <si>
    <t>Otonom Sistem Mühendisi, Sensör Füzyon Uzmanı, Güvenlik Testi Müh.</t>
  </si>
  <si>
    <t>Tesla FSD, Waymo, Cruise: Sensör fzüyon + sinir ağı; şehir içi kaza oranı insanın %40 altında. Yüksek hız/kötü hava koşullarında hâlâ sorunlu.</t>
  </si>
  <si>
    <t>UST: Araçlar Ns,q fazıyla birbirini deterministik görür; kaza fiziksel olarak imkânsızlaşır. Sensör füzyon uzmanı görevi biter; ‘faz koordinasyon mimaristi’ doğar.</t>
  </si>
  <si>
    <t>Orta — V2X (araç-araca haberleşme) standartları (C-V2X, DSRC) mevcut. Faz koordinasyonu yerine RF protokolü kullanıyor. Deterministik güvenlik iddiası ile örtüşüyor ama fizik farklı.</t>
  </si>
  <si>
    <t>Waymo’nun 5. nesil Jaguar I-PACE ve NVIDIA DRIVE Thor platformları merkezi V2X mimarı hedefliyor. UST’nin ‘kaza imkânsızlığı’ iddiasına gidecek yol bu platformlar üzerinden mümkün.</t>
  </si>
  <si>
    <t>V2X altyapısının tüm ağa yayılması 10-15 yıl. UST’nin faz kilitleme mekanizması deneysel olarak gösterilmedi.</t>
  </si>
  <si>
    <t>Genetik / Biyoteknoloji</t>
  </si>
  <si>
    <t>Genömik Veri Bilimci, CRISPR Mühendisi, Protein Mühendisi</t>
  </si>
  <si>
    <t>CRISPR-Cas9 hedef dışı kesme (off-target) oranı %0.1-1. AlphaFold protein katlanma tahmini %90 doğruluk. Kişiye özel ilaç henüz kliniğe tam geçmedi.</t>
  </si>
  <si>
    <t>UST: Gürültüsüz spektral analiz hastalıklı genleri ayıklar; 'sıfır hatalı' protein üretimi. CRISPR off-target mühendisi görevi biter; 'topolojik gen mimaristi' doğar.</t>
  </si>
  <si>
    <t>Düşük-Orta — Spektral analiz genomikta kullanılıyor (NGS gürültü azaltma). Ama ‘sıfır hata’ iddiası biyolojik gerçeklikle çelişir; DNA tamiri zaten hatalı.</t>
  </si>
  <si>
    <t>Illumina’nın short-read dizileme ve PacBio’nun HiFi teknolojisi hata düzeltmede UST’nin öngörülerine en yakın sonuçları veriyor. Protein tasarımı için RFDiffusion + AlphaFold hibridi üstlenebilir.</t>
  </si>
  <si>
    <t>Biyolojik sistemler stoşastik; ‘sıfır hata’ termodinamik ve mutasyon gerçekliğiyle çelişiyor. FDA onay süresi 8-12 yıl.</t>
  </si>
  <si>
    <t>Nükleer Enerji / Füzyon</t>
  </si>
  <si>
    <t>Plazma Fizikçisi, Nükleer Mühendis, Radyasyon Güvenlik Uzmanı</t>
  </si>
  <si>
    <t>ITER (2025 test) ve Commonwealth Fusion’un SPARC reaktörü 2030 hedef. Füzyon net enerji kazancı NIF’te 2022’de kısmen sağlandı. Tritüm tedariki ve plazma kararsızlığı sorun.</t>
  </si>
  <si>
    <t>UST: Topolojik mühürleme ile nükleer atık üretmeyen temiz füzyon reaktörü. Plazma fizikçisi yerini 'topolojik reaktör operatörü' mesleğine bırakır.</t>
  </si>
  <si>
    <t>Orta — Topolojik hapsayıcı (stellarator gibi) fikri temel konseptle örtüşüyor. Ancak mevcut füzyon problemleri enerji dengesi ve malzeme dayınıklığı; UST’nin bunlara somut katkısı belirsiz.</t>
  </si>
  <si>
    <t>Commonwealth Fusion’un 20T mıknatısı ve Helion Energy’nin FRC yaklaSimi topolojik kararsızlık sorununu ele alıyor. UST’nin Kanal C ‘atık tahliyesi’ konsepti teorik olarak bu sorunla örtüşüyor.</t>
  </si>
  <si>
    <t>Plazma kararsızlığı mühendislik problemi; 'topolojik mühürleme' yeterli olmadığı deneylerle gösterildi (ITER gecikmeleri). Ticari süre 20+ yıl.</t>
  </si>
  <si>
    <t>Finans / Borsa &amp; Risk Yönetimi</t>
  </si>
  <si>
    <t>Kantitatif Analist (Quant), Risk Modelleme Uzmanı, Algoritmik Trader</t>
  </si>
  <si>
    <t>HFT gecikmesi 5-50 mikrosaniye. Stochastic volatilite modelleri (Black-Scholes, Monte Carlo). Finansal krizler olasılıksal; tam deterministik tahmin mevcut değil.</t>
  </si>
  <si>
    <t>UST: Mühürlü an (UQS) ile manipülasyon biter, gecikme sıfırlanır. Finansal krizler önceden 'mühürlenir'. Stochastic quant yerini 'deterministik faz analistı'ne bırakır.</t>
  </si>
  <si>
    <t>Düşük — Finansal sistemler sosyal+ekonomik kaos; deterministik tahmin Efficient Market Hypothesis’i çürütmek demek. Kuantum zaman kilitleme finansal uygulamaya çok uzak.</t>
  </si>
  <si>
    <t>JP Morgan’ın OMEN kuantum optimizasyon projesi ve D-Wave’nin portföy optimizasyonu UST’nin faz kilitleme konseptine teorik olarak en yakın. Ama deterministik kriz tahmini yok.</t>
  </si>
  <si>
    <t>Piyasa insan davranışıyla şekilleniyor; fiziksel deterministik modeller sosyal sistemleri kapsamaz. Düzenleyici bariyer (SEC, ESMA) büyük.</t>
  </si>
  <si>
    <t>Uzay Araştırmaları / İtki</t>
  </si>
  <si>
    <t>Uzay Sistemleri Mühendisi, İtki Uzmanı, Orbital Mekanikçi</t>
  </si>
  <si>
    <t>Ion thruster (Hayabusa2, Dawn) spesifik impuls 3.000s. Kimyasal roket 450s. Derin uzay için yakıt yükleme hâlâ dominant sorun. EM Drive deneysel olarak çürütüldü.</t>
  </si>
  <si>
    <t>UST: Vakum enerjisi (Kanal Q) itki motoru olarak kullanılır; yakıtsız seyahat. Orbital mekaniğin görevi 'manifold sörf mimaristi'ne dönüşür.</t>
  </si>
  <si>
    <t>Çok Düşük — Zero-point enerji istismarı termidinamik kanunlarla çelişiyor. EM Drive ve benzeri ‘vakum itki’ sistemleri tekrarlanabilir deneyüstelemanında başarısız oldu.</t>
  </si>
  <si>
    <t>NASA’nın Eagleworks Labı vakum enerjisi deneylerini test etti ve negatif sonuç aldı (2021). Mevcut yol haritasında en gerçekçi seçenek elektrik-ion veya nükleer itki.</t>
  </si>
  <si>
    <t>Termodinamik kanunlara aykırılık. Vakum enerjisi çıkarımı imkânsızlığı Casimir deneyleriyle tıbbi doğrulandı. Ticari potansiyel: sıfır (mevcut fizikle).</t>
  </si>
  <si>
    <t>İklim / Ekoloji</t>
  </si>
  <si>
    <t>İklim Modelleme Uzmanı, Çevre Mühendisi, Lojistik Optimizasyon Uzmanı</t>
  </si>
  <si>
    <t>CMIP6 iklim modelleri %80 doğrulukla 30 yıllık trend tahmini. Enerji ve tarım lojiğtiği kısmen optimizeli; gıda israfı küresel üretimin %30'u.</t>
  </si>
  <si>
    <t>UST: P:Q=3:2 dengesiyle iklim deterministik durdurulur; deterministik lojistik gida israfını sıfırlar. İklim model uzmanı yerini 'enerji denge izleyici'ye bırakır.</t>
  </si>
  <si>
    <t>Düşük — İklim sistemleri kaotik, non-lineer, multi-scale. P:Q oranının iklim üzerindeki etkisi tanımlı değil. Lojistik optimizasyon gerçekçi ama UST gerektirmiyor.</t>
  </si>
  <si>
    <t>Google DeepMind’ın GraphCast (iklim tahmini) ve IBM’in watsonx.ai iklim modeli mevcut. Lojistik optimizasyon için Gurobi/CPLEX yeterli; UST’ye ihtiyaç yok.</t>
  </si>
  <si>
    <t>İklim üzerindeki deterministik kontrol iddiası geopoltik ve ölçek sorunu. Lojistik optimizasyon UST’den bağımsız yapılabilir.</t>
  </si>
  <si>
    <t>Eğitim Teknolojisi</t>
  </si>
  <si>
    <t>Eğitim Tasarımcısı, Bilişsel Bilim Uzmanı, Edtech Geliştiricisi</t>
  </si>
  <si>
    <t>Kahn Academy, Duolingo, ChatGPT tabanlı kişiselleştirilmiş öğrenme yaygın. Beyin öğrenme döngülerine özel algoritma nitel olarak benimsendi.</t>
  </si>
  <si>
    <t>UST: 17'li periyot takvimi ile öğrenme beyin döngülerine kilitlenir; halihazırdaki 'ortalama' müfredat kişiselleştirilir. Eğitim tasarımcısı 'döngü optimizasyon mimaristi' olur.</t>
  </si>
  <si>
    <t>Orta — Spaced repetition (Anki, SM2 algoritması) bilimsel temelli ve yaygın. UST’nin 17 periyot takviminin neden spaced repetition’dan üstün olduğu tanımlı değil.</t>
  </si>
  <si>
    <t>Duolingo’nun spaced repetition + ML sistemi ve Kahn Academy’nin mastery learning modeli ile kısmi örtüşme. 17 periyot takviminin bağımsız nörobilimsel testi gerekiyor.</t>
  </si>
  <si>
    <t>17 periyodun beyin biyolojisine özel üstünlüğü klinik deneylerle gösterilmedi. Mevcut spaced repetition zaten bilimsel destekli.</t>
  </si>
  <si>
    <t>Hukuk / Adalet Sistemi</t>
  </si>
  <si>
    <t>Hukuk Analıstı, Hukuki Veri Bilimci, Adli Bilişim Uzmanı</t>
  </si>
  <si>
    <t>LegalTech (Harvey AI, CaseText): Belge analizi otomasyon. Delil değerlendirmesi hâlâ hâkim/savcı takdiri. Adli dijital delil standartları (ISO 27037) mevcut.</t>
  </si>
  <si>
    <t>UST: Kanıtlar süzülerek 'mutlak gerçek' mühürlenir; hâkimin insan hatası ortadan kalkar. Mevcut hukuk analısti yerini 'UST kanıt süzgeç operatörü'ne bırakır.</t>
  </si>
  <si>
    <t>Düşük — Hukuk toplumsal uzlaşmaya dayanır; matematiksel 'mutlak gerçek' kavramı hukuk epistemolojisiyle çelişir. LegalTech destekleyici, yerini almıyor.</t>
  </si>
  <si>
    <t>Harvey AI (GPT-4 tabanlı) delil analizi yapıyor ama karar üretsemiç adli mühendise bırakılıyor. UST’nin 'mutlak gerçek' iddiası buraya eklenmek için siyasi ve yasal bariyer aşılmalı.</t>
  </si>
  <si>
    <t>Hukukta 'kâti doğru' kavramı felsefi olarak sorunlu. Masumiyet karinesi prensibi ile çelişir. Uluslararası hukukun dönüştirilmesi onlarca yıl alır.</t>
  </si>
  <si>
    <t>Havacılık / Savunma</t>
  </si>
  <si>
    <t>Termal Sis Mühendisi, Radar Tasarim Uzmanı, Aero Sistem Uzmanı</t>
  </si>
  <si>
    <t>F-35 termal imza azaltma: stealth kaplama + soğutma kanalları. Jet motoru sıcaklığı 1.700-2.000C. Soguğtma sıvı bazlı; ağırlik ve bakım maliyeti yüksek.</t>
  </si>
  <si>
    <t>UST: Atık ısı Omnium'a tahliye edilir; roket sınmaz, radar izi (IR) bırakmaz. Termal mühendis görevi biter; 'termal tahliye mimaristi' doğar.</t>
  </si>
  <si>
    <t>Çok Düşük — Termodinamik 2. Yasa’yı çiğniyor; atık ısı harici bir kanal’a 'tahliye' enerji korunumunu ihlal eder. Mevcut fizikle imkânsız.</t>
  </si>
  <si>
    <t>Lockheed Martin ve DARPA DRIVEN programı pasif soğutma ve ısı geri kazanımı üzerinde çalışıyor. Bu UST’nin iddiasından farklı (tahliye değil, geri dönüştürme).</t>
  </si>
  <si>
    <t>Enerji Korunumu Yasası’nın ihlali: hiçbir bilinen fizik mekanizması enerjiyi yok etmiyor. UST doğrulanmadan savunma sektoru bu konuya yatırım yapmaz.</t>
  </si>
  <si>
    <t>Bulut Depolama / Veri Sıkıştırma</t>
  </si>
  <si>
    <t>Veri Mimaristi, Depolama Mühendisi, Bilgi Teorisi Uzmanı</t>
  </si>
  <si>
    <t>Amazon S3, Google Cloud Storage: Zstandard/LZ4 sıkıştırma %60-70 oran. Quantum depolama — kübit tabanlı bellek henüz ticari değil.</t>
  </si>
  <si>
    <t>UST: Tüm insanlık tarihi tek bir atomun fazlarına mühürlenir. Depolama mimaristi 'topolojik faz kaydedici mimaristi' olur.</t>
  </si>
  <si>
    <t>Düşük — Shannon sınırı ve depolama yoğunluğu fiziksel limitler. DNA depolama (Twist Bioscience) zaten 1 gram DNA'da 215 PB teorik kapasite gösteriyor; UST gerektirmiyor.</t>
  </si>
  <si>
    <t>Microsoft Research’ın DNA depolama projesi ve Twist Bioscience teorik olarak UST’nin öngörüsüne en yakın. Ama kayıtsız okuma”yazma hızı hâlâ çok yavaş.</t>
  </si>
  <si>
    <t>Shannon teoremi aşılmış değil. Faz kodlamasında okuma hızı ve hata düzeltme teknik bariyer. UST’nin atom-faz depolaması deneysel olarak gösterilmedi.</t>
  </si>
  <si>
    <t>Robotik</t>
  </si>
  <si>
    <t>Robot Kinematik Mühendisi, Hareket Planlama Uzmanı, Kontrol Sistemi Müh.</t>
  </si>
  <si>
    <t>Boston Dynamics Atlas: 6 DOF/eklem. ABB ve KUKA endüstriyel robotlar 6-7 eksenli. Yaratıcı hareket planlaması için çoğu zaman 3.000+ satır kinematiği gerekiyor.</t>
  </si>
  <si>
    <t>UST: 17 boyutlu hareket serbestliği ile insan kasından daha esnek ve deterministik hareket. Robot kinematiği mimaristi yerini '17-DOF topolojik hareket mimaristi'ne bırakır.</t>
  </si>
  <si>
    <t>Düşük — 17 DOF mevcut robotlarda teknik; ama 17 âdet serbestlik derecesinin fıziksel üstünlüğü tanımlı değil. Mevcut 6-DOF sistemleri çoğu görev için fazladır.</t>
  </si>
  <si>
    <t>Sanctuary AI’nın Phoenix robotu ve Figure 01 insanımsı dexterity için 20+ eksen kullanıyor. UST’nin 17-DOF önerisi bu sistemlerle kısmi örtüşme sunuyor.</t>
  </si>
  <si>
    <t>17-DOF’nin 6-DOF’a göre üstünlüğü görevde fark yaratmıyor; fazla DOF ko-ntrol karmaşıklığı artırır. Topolojik üstünlükyoksa bu sadece dörüngü sayısı.</t>
  </si>
  <si>
    <t>Yapay Zeka</t>
  </si>
  <si>
    <t>UST Euclid 2026 Q2 VeriSeti doğrulamasına tabi; doğrulanmadan sektör yatırım yapmaz. Topolojik kübit henüz tekrarlanabilir değil.</t>
  </si>
  <si>
    <t>TABLO 3 — KUANTUM BİLGİSAYAR + UST BİRLEŞİMİ: 50 SOMUT SENARYO</t>
  </si>
  <si>
    <t>Bağlam: Günümüz kuantum bilgisayarları (IBM 1000+ kübit, Google Willow, Microsoft Majorana) ile UST'nin deterministik filtre/topoloji iddiaları birleştirilirse ne olur? Her satır: mevcut teknik durum + UST katkısı + beklenen çıktı + gerçekçilik değeri.</t>
  </si>
  <si>
    <t>Günümüz Kuantum Kapasitesi (2025)</t>
  </si>
  <si>
    <t>UST Katkısının İddiası</t>
  </si>
  <si>
    <t>Birleşimin Beklenen Çıktısı</t>
  </si>
  <si>
    <t>Gerçekçilik (1=Düşük / 5=Yüksek)</t>
  </si>
  <si>
    <t>Kısıt / Engel</t>
  </si>
  <si>
    <t>İlaç Keşfi</t>
  </si>
  <si>
    <t>IBM Quantum: Moleküler simülasyon 50-100 kübit. Pfizer/Roche kuantum kimya deneyleri. Mevcut klasik yöntemle ilaç keşfi 12-15 yıl.</t>
  </si>
  <si>
    <t>UST 1/17 süzgeci kuantum gürültüsünü filtreler; protein katlama hesabı sıfır hatayla çalışır.</t>
  </si>
  <si>
    <t>Yeni molekülün biyolojik aktivitesi klinik öncesi 6 ayda tahmin edilebilir. Faz II deneme başarısızlık oranı (%50) düşer.</t>
  </si>
  <si>
    <t>UST gürültü filtresi deneysel doğrulanmadı. Protein katlama için AlphaFold3 zaten %90 başarılı; fark marjinal olabilir.</t>
  </si>
  <si>
    <t>Kriptografi / Post-Kuantum</t>
  </si>
  <si>
    <t>Google Willow: 105 kübitli yonga, belirli benchmark'ta klasik üstü. NIST CRYSTALS-Kyber standardı belirlendi.</t>
  </si>
  <si>
    <t>UST P=NP çöküşü ile tek doğru cevap kalır; tüm RSA ve AES şifreler deterministik kırılabilir.</t>
  </si>
  <si>
    <t>Eğer P=NP gösterilirse: tüm mevcut şifreli altyapı 24 saat içinde geçersiz. Bankacılık, ordu, devlet sistemleri sıfırdan kurulur.</t>
  </si>
  <si>
    <t>P=NP ispatı Clay Milenyum Problemi; matematiksel konsensüs P≠NP yönünde. UST'nin bunu kuantum donanımla göstermesi ayrı bir ispat gerektirir.</t>
  </si>
  <si>
    <t>İklim Modelleme</t>
  </si>
  <si>
    <t>D-Wave kuantum annealer iklim optimizasyonu testleri yapıyor. ECMWF klasik süperbilgisayar 1.1 ExaFLOP kullanıyor.</t>
  </si>
  <si>
    <t>UST P:Q=3:2 dengesiyle iklim deterministik denklem sistemine indirgenir; kuantum işlemci çözümü milisaniyede verir.</t>
  </si>
  <si>
    <t>30 yıllık iklim projeksiyonu bugünkü %80 yerine %95+ doğrulukla hesaplanır. Sel, kuraklık bölgeleri 5 yıl önceden haritalanır.</t>
  </si>
  <si>
    <t>İklim kaotik non-lineer sistem; P:Q oranının kaotik diferansiyel denklemleri deterministik yapması gösterilmedi.</t>
  </si>
  <si>
    <t>Malzeme Tasarımı / Süper İletken</t>
  </si>
  <si>
    <t>Microsoft QuEra: nötr atom tabanlı 256 kübit. Kuantum kimya simülasyonu H2, LiH moleküllerine kadar doğrulandı.</t>
  </si>
  <si>
    <t>UST topolojik yalıtkanlık mimarisi kuantum simülasyona eklenir; oda sıcaklığı süper iletken aday molekül listesi üretilir.</t>
  </si>
  <si>
    <t>Denemeye girmesi gereken malzeme adayı sayısı 10.000'den 50'ye düşer. Laboratuvar doğrulama süresi 5 yıldan 8 aya iner.</t>
  </si>
  <si>
    <t>Kuantum simülasyon hâlâ 50-100 kübit sınırında; büyük moleküller için binlerce mantıksal kübit gerekiyor. UST katk. belirsiz.</t>
  </si>
  <si>
    <t>Lojistik Optimizasyon</t>
  </si>
  <si>
    <t>D-Wave ve IBM portföy/rota optimizasyonu testleri DHL, Volkswagen ile yapıldı. 1.000 düğümlü problemde %15 iyileşme.</t>
  </si>
  <si>
    <t>UST deterministik lojistik ile gürültülü (stokastik) kısıtlar elimine edilir; kuantum annealer tek optimum bulur.</t>
  </si>
  <si>
    <t>Global kargo ağında boş seferin %22'den %8'e düşmesi. Gıda israf lojistiği %30 azalır. Enerji maliyeti %18 düşer.</t>
  </si>
  <si>
    <t>D-Wave lojistik optimizasyonu zaten %15 iyileşme sağlıyor; UST katkısını ayırt etmek güç. Ama gerçekçi entegrasyon mümkün.</t>
  </si>
  <si>
    <t>Finans / Portföy Optimizasyonu</t>
  </si>
  <si>
    <t>Goldman Sachs, JPMorgan kuantum portföy optimizasyonu testleri yaptı. 1.000 varlıklı portföyde %3-5 Sharpe artışı.</t>
  </si>
  <si>
    <t>UST faz kilitleme ile piyasa gürültüsü Kanal C'ye tahliye edilir; kuantum işlemci saf sinyal üzerinde çalışır.</t>
  </si>
  <si>
    <t>Portföy gürültü oranı (noise-to-signal) %60 düşer. Yıllık alfa üretimi %2-4 ek getiri. Kriz sinyali 3 hafta önceden görülür.</t>
  </si>
  <si>
    <t>Piyasa sosyal sistem; fiziksel gürültü ile finansal gürültü farklı kavramlar. Kanal C'nin finansa uygulanması tanımsız.</t>
  </si>
  <si>
    <t>Yapay Zeka / LLM Eğitimi</t>
  </si>
  <si>
    <t>Kuantum ML (QML) henüz NISQ döneminde. IBM Heron işlemcisinde küçük NN eğitimi test edildi; klasik üstü net değil.</t>
  </si>
  <si>
    <t>UST ONL faz sistemi kuantum aktivasyon fonksiyonu olarak eklenir; halüsinasyon matematiksel olarak engellenir.</t>
  </si>
  <si>
    <t>GPT-5 sınıfı modellerde halüsinasyon oranı %3'ten sıfıra düşer. Eğitim verisi ihtiyacı %80 azalır; model boyutu 10x küçülür.</t>
  </si>
  <si>
    <t>QML klasik ML'ye net üstünlük henüz gösterilmedi. ONL'nin matematiksel tanımı yok. İki belirsizlik üst üste biniyor.</t>
  </si>
  <si>
    <t>MRI / Tıbbi Görüntüleme</t>
  </si>
  <si>
    <t>Kuantum sensörler (NV center diamond): MRI'da T sensitivitesi 100x artışı laboratuvarda gösterildi. Ticari yok.</t>
  </si>
  <si>
    <t>UST 1/17 filtresi kuantum sensör çıktısını gürültüden arındırır; tümör sınırları hücre düzeyinde görülür.</t>
  </si>
  <si>
    <t>1mm tümör yerine 0.01mm lezyon tespiti. Biyopsi ihtiyacı %70 azalır. Erken evre kanser tespiti %40 artar.</t>
  </si>
  <si>
    <t>Kuantum sensörün klinik MRI'ya entegrasyonu 8-12 yıl. FDA süreci ayrı. UST filtresi donanımsal kanıtlanmadı.</t>
  </si>
  <si>
    <t>Siber Güvenlik / Şifreleme</t>
  </si>
  <si>
    <t>NSA post-kuantum geçişi 2030 hedefli. CRYSTALS-Dilithium dijital imza standardı. Kuantum key distribution (QKD) ticari kullanımda (Toshiba, ID Quantique).</t>
  </si>
  <si>
    <t>UST topolojik mühürlü ağ: sızıntı sabiti RA fiziksel olarak kilitlenir; hack matematiksel imkânsızlaşır.</t>
  </si>
  <si>
    <t>Mevcut QKD'ye ek fiziksel katman. Devlet/savunma ağları için 'kırılamaz' sertifikasyon. Ticari lisans $500M/yıl potansiyel.</t>
  </si>
  <si>
    <t>QKD zaten kanıtlı; UST'nin ek fiziksel güvencesi tanımsız. RA sabitinin 'hacklenemezlik' ile ilişkisi gösterilmeli.</t>
  </si>
  <si>
    <t>Enerji Şebekesi Optimizasyonu</t>
  </si>
  <si>
    <t>Siemens ve ABB kuantum optimizasyon testleri Avrupa şebekesinde yaptı. Peak-load dengeleme %8 iyileşme.</t>
  </si>
  <si>
    <t>UST Vb≈1.1954 harmonik oranı şebeke frekansına kilitlenir; kuantum işlemci dengelemeyi milisaniyede hesaplar.</t>
  </si>
  <si>
    <t>Şebeke kayıp oranı %6'dan %1.5'e iner. Yenilenebilir entegrasyon %30 artar. Kuzey Avrupa'da yıllık €8B tasarruf.</t>
  </si>
  <si>
    <t>Vb oranının şebeke frekans dengelemeye matematiksel bağlantısı tanımsız. Ancak kuantum optimizasyon kısmı zaten gerçekçi.</t>
  </si>
  <si>
    <t>Genömik Veri Analizi</t>
  </si>
  <si>
    <t>IBM Quantum: Genömik varyant analizi 50k SNP için kuantum walk algoritması test edildi. Klasik üstünlük &lt; 10k SNP.</t>
  </si>
  <si>
    <t>UST spektral normalizasyon kuantum işlemcide uygulanır; hastalık riskini belirleyen gen kombinasyonu geniş populâsyonda taranır.</t>
  </si>
  <si>
    <t>3 milyar nükleotid tarama süresi 4 günden 40 dakikaya düşer. Nadir genetik hastalık teshis oranı %35 artar.</t>
  </si>
  <si>
    <t>Kuantum veri okuma hızı (quantum RAM) sorunu çözülmedi. UST filtresinin genomik gurültüye uygulanması tanımsız.</t>
  </si>
  <si>
    <t>Finans Riski / Monte Carlo</t>
  </si>
  <si>
    <t>Goldman Sachs kuantum Monte Carlo: Klasik yöntemden 1.000x hızlı faiz riski hesaplama iddiaı (teorik). Ticari kullanım yok.</t>
  </si>
  <si>
    <t>UST deterministik faz ile Monte Carlo'nun stokastik katmanı kaldırılır; tek doğru senaryo üretilir.</t>
  </si>
  <si>
    <t>Türev fiyatlama milisaniyeden mikrosaniyeye iner. Kriz simülasyonu anlık. Risk departmanı %60 küçülür.</t>
  </si>
  <si>
    <t>Monte Carlo'nun stokastik yapısı finansal riskın özsel belirsizliğinden kaynıklanıyor; fiziksel gürültü değil. UST bunu çözmez.</t>
  </si>
  <si>
    <t>Deprem Erkeni Uyarı</t>
  </si>
  <si>
    <t>USGS ShakeAlert: P-dalgası algılamayla 5-30 saniye önceden uyarı. Japonya Hi-Net 1.000+ sensör.</t>
  </si>
  <si>
    <t>UST TOm eşiği kuantum işlemcide gerçek zamanlı hesaplanır; fay hattı stresin bürikimi izlenir.</t>
  </si>
  <si>
    <t>Uyarı süresi 5 saniyeden 72 saate çıkar. Sınır bölgelerdeki boşaltma planları otomatik tetiklenir.</t>
  </si>
  <si>
    <t>Fay gerilimi artması deprem garantisi değil; stres birikim modeli ve sıvılaşma etkisi non-lineer. Yanlış alarm riski yüksek.</t>
  </si>
  <si>
    <t>Protein Tasarımı / Enzim</t>
  </si>
  <si>
    <t>Google Deepmind AlphaFold3 + Rosetta: Protein katlama %90 doğruluK. Enzim tasarımı için RFDiffusion.</t>
  </si>
  <si>
    <t>UST gurültüsüz spektral analiz kuantum işlemcide: enerji minimizasyon alanı tek doğru katlanmaya kilitlenir.</t>
  </si>
  <si>
    <t>Sentetik enzim tasarımı 12 aydan 3 haftaya iner. Sanayi enzim pazarında ($7B) tasarım maliyeti %80 düşer.</t>
  </si>
  <si>
    <t>AlphaFold3 zaten %90 başarılı; kuantum katkısı kıyıda. UST faz kilitlemenin enerji minimizasyonuna bağlantısı tanımsız.</t>
  </si>
  <si>
    <t>Trafik / Sehir Lojistiği</t>
  </si>
  <si>
    <t>Volkswagen Lizbon pilot: D-Wave ile trafik optimizasyonu %17 sıkışma azaltıması. Klasik östünlük 50+ kavşak.</t>
  </si>
  <si>
    <t>UST deterministik faz koordinasyonu: sinyaller kuantum işlemci üzerinden tüm şehir ölçeğinde anlık senkronize edilir.</t>
  </si>
  <si>
    <t>Şehir içi trafik kaybı (yakıt + zaman) yıllık $2B (NYC örneği). Ambulans ulaşım süresi %40 azalır.</t>
  </si>
  <si>
    <t>Volkswagen deneyi zaten gerçek; UST eklentisi marjinal artış sağlar. Altyapı yatırımı (sensor, 5G) ana engel.</t>
  </si>
  <si>
    <t>Nükleer Reaktor Guvenligi</t>
  </si>
  <si>
    <t>Kuantum sensörler: nüklear reaktorde nötron akısı izleme precision 1000x arttı (laborahuvar). Ticari entegrasyon yok.</t>
  </si>
  <si>
    <t>UST topolojik mühürleme reaktor kor dengesiyle eşleştirilir; dengesizlik önce 'mühürlenir'.</t>
  </si>
  <si>
    <t>Çernobil/Fukushima türü termal kacış 45 dakika öncesinden tahmin edilir. Reaktor kapanma süresi 3 saniyeye iner.</t>
  </si>
  <si>
    <t>Reaktör güvenligi karmasik multi-fizik problem. 'Mühürleme' kavraminin reaktör termalhi hidroligi ile iliskisi tanimsiz.</t>
  </si>
  <si>
    <t>Tarım / Verim Tahmini</t>
  </si>
  <si>
    <t>Bayer + D-Wave: Tarımsal verim optimizasyonu için kuantum walk modeli test. Klasik model vs %5 fark.</t>
  </si>
  <si>
    <t>UST deterministik entropi korunumu ile tarım lojistiği (sulama, gübre, hasat zamanı) tek optimum çözüme kilitlenir.</t>
  </si>
  <si>
    <t>Tarımsal su kullanımı %25 azalır. Verim kaybı (hastalık+iklim) %30 düşer. Küresel gıda üretimi %12 artar.</t>
  </si>
  <si>
    <t>Tarım optimizasyonu kısmen mevcut (John Deere AI). Kuantum katkı gerçekçi; UST katmanı marjinal iyileştirme sunabilir.</t>
  </si>
  <si>
    <t>Uzay Aracı Navigasyon</t>
  </si>
  <si>
    <t>NASA JPL: Kuantum GPS alternatifleri (atom interferometry) test. Yer üsty üzerinde 1cm hassasiyet lab'da gösterildi.</t>
  </si>
  <si>
    <t>UST UQS (Evrensel Kuantum Saat) sistemi atom interferometresiyle birleşir; derin uzayda zaman kayması kompanse edilir.</t>
  </si>
  <si>
    <t>Mars misyonlarında konum hatası 200km'den 2km'ye iner. GPS uydu bağlantasız navigasyon ticari olur.</t>
  </si>
  <si>
    <t>Atom interferometrisi gerçek; uzay koullarina dayaniklilik ve minyaturizasyon sorunu var. UST katkisi marjinal olabilir.</t>
  </si>
  <si>
    <t>Yarıiletken Tasarimi</t>
  </si>
  <si>
    <t>TSMC 2nm node 2025'te. Kuantum simülasyon ile yeni transistor mimarisi araştırması IBM ve Intel'de.</t>
  </si>
  <si>
    <t>UST Kuantum Hall Etkisi mühürlemesi ile elektron akış yolları topolojik olarak optimize edilir; yeni node mimarisi.</t>
  </si>
  <si>
    <t>1nm altı node topolojik yolla mümkün. Çip sıcaklığı %40 azalır. TSMC/Samsung için $200B+ lisan potansiyeli.</t>
  </si>
  <si>
    <t>Topolojik yarıiletken teorik fizik araştırmasında; üretim fizibilitesi yök. UST'nin Hall etkisi mimariye katkısı tanımsız.</t>
  </si>
  <si>
    <t>Elektrikli Aracı Batarya Kimyası</t>
  </si>
  <si>
    <t>QuantumScape ve IBM kuantum simülasyonla solid-state batarya elektrolit araştırıyor. Laborahuvar örneği 2024'te.</t>
  </si>
  <si>
    <t>UST Vb≈1.1954 harmonik oranı elektrolit iyon difuzyon modeline uygulanir; en stabil Li-O hesaplanır.</t>
  </si>
  <si>
    <t>EV menzili %40 artar. Batarya ömrü 10 yıldan 25 yıla çıkar. Sarş süresi 3 dakikaya iner.</t>
  </si>
  <si>
    <t>Kuantum simülasyon batarya kimyast çüzmek için binlerce mantıksal kübit gerekiyor; hâlâ mümkün değil. Vb baglantisi tanimsiz.</t>
  </si>
  <si>
    <t>Havacılık Güvenliği / Rota Planlama</t>
  </si>
  <si>
    <t>Airbus kuantum rota optimizasyonu test etti; 200 uçuş için yakıt tasarrufu %3. D-Wave kullanıldı.</t>
  </si>
  <si>
    <t>UST deterministik faz koordinasyonu tüm hava sahasını tek mühürlü sisteme bağlar; çarpışma riski ortadan kalkar.</t>
  </si>
  <si>
    <t>Yıllık yakıt tasarrufu global havacılıkta $12B. Çarpışma riski sıfırlanır. Hava trafik kontrolcü sayısı %50 azalır.</t>
  </si>
  <si>
    <t>Airbus deneyi gerçek; faz koordinasyon iddiası boyutsal. ICAO protokol değişimi onlarca yıl alır.</t>
  </si>
  <si>
    <t>Tedarik Zinciri / Stok Yönetimi</t>
  </si>
  <si>
    <t>Amazon + D-Wave depo rota optimizasyonu. %12 teslimat hızı artışı. Walmart envanter yönetimi test.</t>
  </si>
  <si>
    <t>UST entropi korunumu kuralı ile stok israfı deterministic kaldırılır; kuantum annealer tek optimal siparis miktari verir.</t>
  </si>
  <si>
    <t>Tedarik zincrinde kırılırlik (COVID-19 senaryosu) %60 azalır. Gıda israfı %35 düşer. Depo alanı %20 küçülür.</t>
  </si>
  <si>
    <t>Kuantum optimizasyon burada gerçekçi; UST entropi kuralı ek değer sağlar mı belirsiz. Ama proje bağlamsız çalışır.</t>
  </si>
  <si>
    <t>Kimyasal Silah/Atık Arazdanırma</t>
  </si>
  <si>
    <t>Kuantum simülasyon: kimyasal reaksiyon yolları klasik bilgisayardan 10x hızlı hesaplanıyor (30 atom çapında).</t>
  </si>
  <si>
    <t>UST spektral normalizasyon ile zehirli molekülün en verimli bozunma yolu belirlenir; atık arazdanırma çözülur.</t>
  </si>
  <si>
    <t>Klorlu solvan bozunumu 50 yıldan 5 yıla iner. Kirletilmiş alanın temizleme maliyeti %70 düşer. EPA/çevre market $200B.</t>
  </si>
  <si>
    <t>Kuantum kimya simülas. gerçekçi; UST katmanı marjinal. Ama molekül büyüklüğü hâlâ kuantum sınırında.</t>
  </si>
  <si>
    <t>Yapay Gözlem / Uydu Görüntü Analizi</t>
  </si>
  <si>
    <t>Planet Labs 200+ uydu: günlük dünya haritası. Kuantum makine öğrenimi ile görüntü sınıflandırma test.</t>
  </si>
  <si>
    <t>UST 1/17 gürültü süzgeci uydu görüntüsüne uygulanır; bulut/atmosfer gurültüsü kaldırılır.</t>
  </si>
  <si>
    <t>Gece/bulutlu hava şartlarında optik uydu görüntü kalitesi %300 artar. Orman yangını tespiti 4 saatten 20 dakikaya.</t>
  </si>
  <si>
    <t>Atmosfer kırınımı ve bulut fiziksel engel; filtre ile kaldırılamaz. Radar/SAR zaten bu sorunu çözüyor. UST katkisi belirsiz.</t>
  </si>
  <si>
    <t>Bina Enerji Yonetimi</t>
  </si>
  <si>
    <t>Siemens Desigo CC + IBM kuantum HVAC optimizasyonu testi; %18 enerji tasarrufu 50 katlı binada.</t>
  </si>
  <si>
    <t>UST harmonik denge oranı (Vb) bina titresım frekansına kilitlenir; ısıtma/soğutma sifir israf çalışır.</t>
  </si>
  <si>
    <t>Bina enerji tüketimi %30 azalır. Deprem rezonans hasarı %50 düşer. LEED Platinum sertifika maliyeti %40 düşer.</t>
  </si>
  <si>
    <t>Siemens deneyi gerçek; Vb harmonik oranının bina titresim modéline bağlantısı tanımsız. Ama kuantum HVAC tek başına yeterli.</t>
  </si>
  <si>
    <t>Sosyal Ağ Dezenformasyon Tespiti</t>
  </si>
  <si>
    <t>Meta + kuantum ML: bot ağ tespiti için grafik analiz. Klasik yöntemden %30 hızlı (lab testi).</t>
  </si>
  <si>
    <t>UST ONL faz sistemi: sahte hesap ile gerçek hesabın faz imzası ayrışır; dezenformasyon kaynağı anında belirlenir.</t>
  </si>
  <si>
    <t>Seçim manipulasyonu tespiti %95+ doğruluKla. Bot hesap kaldırma süresi 2 haftadan 3 saate iner.</t>
  </si>
  <si>
    <t>ONL matematiksel tanımsız. Sosyal davranış fiziksel faz imzası taşımaz. Mevcut GNN yöntemleri zaten %80+ başarılı.</t>
  </si>
  <si>
    <t>Hastane Hasta Akış Optimizasyonu</t>
  </si>
  <si>
    <t>Fujitsu kuantum simul. ile Cleveland Clinic hasta yatış planı optimize etti; bekleme süresi %25 azaldı.</t>
  </si>
  <si>
    <t>UST master register mekanizması hasta akışını deterministik plana kilitler; acil servis kargasa söz konusu olmaz.</t>
  </si>
  <si>
    <t>Hastane yatış verimliliği %40 artar. Ameliyat öncesi bekleme 6 haftadan 4 güne iner. Sağlık harcaması %15 azalır.</t>
  </si>
  <si>
    <t>Fujitsu deneyi gerçek; UST eklentisi marjinal. Ama sağlık lojistiği optimizasyonu en uygulanabilir alanlardan biri.</t>
  </si>
  <si>
    <t>Malzeme Geri Dönüşüm Kimyası</t>
  </si>
  <si>
    <t>Kuantum simülasyon ile plastik piroliz reaksiyon yolu hesaplandı (10 atom modelinde). Laböravatuvar örneği.</t>
  </si>
  <si>
    <t>UST spektral normalizasyon ile plastik türü ne olursa olsun optimum bozunma yolu bulunur.</t>
  </si>
  <si>
    <t>Plastik geri dönüşüm verimi %12'den %85'e çıkar. Kimyasal geri dönüşüm endustrisi ($50B) kökten değişir.</t>
  </si>
  <si>
    <t>Kuantum sim. hala kucuk moleküller ile sınırlı; sanayi plastikleri icin binlerce kubit gerekli. UST katki ayrı belirsiz.</t>
  </si>
  <si>
    <t>Akilli Sü Sebekesi Yönetimi</t>
  </si>
  <si>
    <t>IBM Maximo + klasik optimizasyon: su kacık tespiti %70 doğrulukla. Kuantum sensör ile boru basıncı hassas izleme.</t>
  </si>
  <si>
    <t>UST deterministik entropi korunumu ile su kaybinin tam yeri ve anı belirlenir; proaktif onarım gerçekleştirilebilir.</t>
  </si>
  <si>
    <t>Su israfı (%30 global ortalama) %5'e iner. Su faturaları %25 düşer. Küresel su kaybı $14B/yıl önüne geçilir.</t>
  </si>
  <si>
    <t>Kuantum sensör ve IoT gerçekçi; UST'nin entropi kuralı eklemesi marjinal iyileştirme sunar. Pratik proje.</t>
  </si>
  <si>
    <t>Uzaktan Cerrahi / Robot Cerr.</t>
  </si>
  <si>
    <t>Intuitive Surgical da Vinci: robot cerrahi 5G latency ile uzaktan test edildi. Gecikme hatası kritik sorun.</t>
  </si>
  <si>
    <t>UST faz kilitleme ile cerrahi robot komutu ve geri bildirim arasındaki gecikme deterministik 0'a kilitlenir.</t>
  </si>
  <si>
    <t>Uzak bölge hastalara cerrahi erişim. Uzman cerrah başına ameliyat kapasitesi 3x artar. Sağlık eşitsizliği azalır.</t>
  </si>
  <si>
    <t>5G gecikme fiziksel ışık hızı sınırıyla belirlenir; UST deterministik kilitleme bunu asıamaz. Latency fiziksel geçikmedir.</t>
  </si>
  <si>
    <t>Okyanus Kirliliği Haritalama</t>
  </si>
  <si>
    <t>Kuantum sensörler denizaltı baskı ölçümünde 1000x hassasiyet lab'da. Ticari okyanus izleme yok.</t>
  </si>
  <si>
    <t>UST spektral süzgeç okyanus kimyasal veri gürültüsünü kaldırır; mikro-plastik yoğunluk haritası gerçek zamanlı.</t>
  </si>
  <si>
    <t>Mikro-plastik kaynak tespiti 6 aydan 3 güne iner. Temizlik operasyonları %60 daha verimli hedeflenebilir.</t>
  </si>
  <si>
    <t>Kuantum sensör denizaltı dayaniklilik sorunu var. UST spektral katman marjinal katki sunar.</t>
  </si>
  <si>
    <t>Sigorta Risk Modellemesi</t>
  </si>
  <si>
    <t>AXA ve Munich Re kuantum Monte Carlo risk modellemesi test. Klasik'ten %5 doğruluk artışı (dar kapsamda).</t>
  </si>
  <si>
    <t>UST deterministik faz: iklim+deprem+sağlık risklerinin ütüşmesi tek deterministik modele kilitlenir.</t>
  </si>
  <si>
    <t>Sigorta hasar beklentisi tüm risk sınıflarında %15 daha doğru. Yanlış fiyatlı poliyi biter. Sektör âvantajı $30B.</t>
  </si>
  <si>
    <t>Risk, doğa ve sosyal sistemlerin kaosudur. Deterministik kilitleme iddiası risk teorisiyle çelişir. Kuantum MC gerçekçi ama UST katmanı gereksiz.</t>
  </si>
  <si>
    <t>Yeni Antibiyotik Keşfi</t>
  </si>
  <si>
    <t>Kuantum simülasyon bakteriyel hucre duvarı enzim mekanizmasını 15 atomlu modelde hesapladı (2023 MIT).</t>
  </si>
  <si>
    <t>UST gurültüsüz spektrum: direnc geninin molekuler imzası ayrıştırılır; etkin bileşik direkt hedeflenir.</t>
  </si>
  <si>
    <t>Yeni sınıf antibiyotik kefsi 10 yıldan 2 yıla iner. AMR (antimikrobiyal direnc) küresel krizi frenlenebilir.</t>
  </si>
  <si>
    <t>Kuantum kimya bu alanda gerçekçi; MIT deneyi kanıt. UST spektral filtrenin ek katkısı tanımlanmali.</t>
  </si>
  <si>
    <t>Enerji Depolama / Hidrojen</t>
  </si>
  <si>
    <t>Kuantum simülasyon H2O elektroliz katalizoru arıyor (IBM + BASF). Klasik yöntemden 3x hızlı aday tarama.</t>
  </si>
  <si>
    <t>UST Vb harmonik oranı elektrokimyasal reaksiyon eşiz üret enerji baışım noktalarını belirler.</t>
  </si>
  <si>
    <t>Yeşil hidrojen maliyeti $5/kg'dan $0.8/kg'a düşer. Enerji depolama kapasitesi x3. Fosil yakıt alternatiflükleri gerçekleşir.</t>
  </si>
  <si>
    <t>IBM-BASF gerçek proje; Vb oranının elektrokimyaya uygulanması tanımsız. Ama kuantum katalizör arayışı gerçekçi.</t>
  </si>
  <si>
    <t>Ses Tanıma / NLP Gürültü Engeli</t>
  </si>
  <si>
    <t>Amazon Transcribe + kuantum ML: gürültülü ses tanıma %15 iyileştime test'te (NISQ). Ticari yok.</t>
  </si>
  <si>
    <t>UST 1/17 süzgeci sesin fonetik gürültüsünü deterministik filtreler; neredeyse %100 doğruluk.</t>
  </si>
  <si>
    <t>Engelli bireyler için ses teknolojisi kullanılabilirliği kat artar. Çağrı merkezleri %70 otomasyon. Sağlıkta sesli tanı yaygınlaşır.</t>
  </si>
  <si>
    <t>Whisper v3 (OpenAI) zaten %95+ basın doğruluklu. UST 1/17'nin fonetik gurültüye uygulanısı tanimsiz. Marjinal katki.</t>
  </si>
  <si>
    <t>Uydu Haberleşme Şifrelemesi</t>
  </si>
  <si>
    <t>Ariane 6 ve SpaceX: Ticari QKD uydu (QuinetQ, ID Quantique). Chin’de Micius uydusuyla 7.600km QKD bağlantısı sağlandı.</t>
  </si>
  <si>
    <t>UST RA sızıntı sabiti QKD üzerine ek mühür katmanı; uydu intercepti fiziksel imkânsızlaşır.</t>
  </si>
  <si>
    <t>Devlet uydu ağlarında 'kırılamaz' güvence. Ticari şifreli uydu haberleşmesi (savaş/istihbarat) $50B pazar.</t>
  </si>
  <si>
    <t>Micius gerçek; RA sabitinin QKD'ye ek katman olarak çalışması tanımsız. QKD zaten teorik olarak kırılamaz; ekleme gereksiz olabilir.</t>
  </si>
  <si>
    <t>Beyin-Bilgisayar Arayzüyü (BCI)</t>
  </si>
  <si>
    <t>Neuralink N1 chip: 1.024 elektrot; düşünce ile cursor kontrolu insanda gösterildi. Sinyal gürültüsü kritik sorun.</t>
  </si>
  <si>
    <t>UST Kuantum Dekoherans Engelleyicisi + 1/17 filtresi: nöron sinyal gürültüsü kaldırılır; düşünce-makine aktarımı temiz.</t>
  </si>
  <si>
    <t>Felc hastaı %90'dan fazlası sözü yazabilir. Motor engelli bireylerin bağımsızlığı tamamen geri kazanır. BCI pazarı $45B.</t>
  </si>
  <si>
    <t>Neuralink gerçek; gürültü filtreleme BCI'nin gerçek sorunu. UST'nin 1/17 filtresi biyoelektrik sinyale uyarlanırsa gerçekci proje.</t>
  </si>
  <si>
    <t>Füzyon Plazma Kontrolu</t>
  </si>
  <si>
    <t>Google DeepMind: Tokamak plazma kontrolu yapay zeka ile gerçek zamanlı stabil tutuldu (2022 TCV). Kuantum simülasyon plazma denklem.</t>
  </si>
  <si>
    <t>UST topolojik mühürleme plazma karcın (MHD) dengesizliklerini kuantum işlemcide öngörür; önce kapanma önlenebilir.</t>
  </si>
  <si>
    <t>Tokamak durate süresi dakikadan saatlere çıkar. ITER net enerji kazancı 2030 hedefi 2027'ye çekilebilir. Temiz enerji hizlanir.</t>
  </si>
  <si>
    <t>DeepMind plasma kontrolü gerçek; kuantum simül. plazma denklemleri için aday. UST topolojik mühürlemenin fiziksel karşılığı tanımsız.</t>
  </si>
  <si>
    <t>Optik Fiber İletişim</t>
  </si>
  <si>
    <t>Kuantum tekrarlacılar (quantum repeater) fiber optikte 1.000km+ mesafeye kuantum iletim. Corning ve NTT test.</t>
  </si>
  <si>
    <t>UST 1/17 kanal süzgeci kuantum tekrarlacı noktasındaki dekoheransı temizler; mesafe sınırı kalkar.</t>
  </si>
  <si>
    <t>Kıtaıarası kuantum haberleşme ağı kurulabilir. QKD maliyeti %80 düşer. Fiber internet kapasitesi 100x artar.</t>
  </si>
  <si>
    <t>Kuantum tekrarlacı gerçek teknoloji; dekoherans süzüme gerçekçi fürsad. UST 1/17 filtresi burada somut hedef sunuyor.</t>
  </si>
  <si>
    <t>Akıllı Şehir Enerji Dağıtımı</t>
  </si>
  <si>
    <t>Singapore National Grid + IBM kuantum: %11 enerji kayıp azaltıması. EDF ve National Grid pilot.</t>
  </si>
  <si>
    <t>UST P:Q=3:2 dengesiyle tüm şehir enerji ağı tek deterministik dengede çalışır; kapasite planlaması otomatik.</t>
  </si>
  <si>
    <t>Enerji çalınması (theft) sıfır. Black-out riski %95 azalır. $3B/yıl kayıp kurtarma NYC ölçeğinde.</t>
  </si>
  <si>
    <t>Singapore pilot gerçek; P:Q oranının enerji dengesine fiziksel bağlantısı tanımsız. Kuantum optimizasyon kısmı gerçekçi.</t>
  </si>
  <si>
    <t>Nakliye / Deniz Trafik Yönetimi</t>
  </si>
  <si>
    <t>Maersk + IBM kuantum: liman yükleme süresi optimizasyonu %14 iyileşme. Konteyner planlaması klasik-kuantum hibrit.</t>
  </si>
  <si>
    <t>UST deterministik lojistik ile tüm global deniz yolları tek optimal akış planına kilitlenir.</t>
  </si>
  <si>
    <t>Liman bekleme süresi %50 azalır. Deniz yakıt tüketimi %20 düşer. Küresel lojistik maliyeti yıllık $80B azalır.</t>
  </si>
  <si>
    <t>Maersk-IBM örtüşmesi gerçek; kuantum lojistik en başarılı alanlardan. UST deterministik katmanı marjinal ama gerçekçi.</t>
  </si>
  <si>
    <t>Adli Tup/DNA Eslőemesi</t>
  </si>
  <si>
    <t>CODIS sistemi: 16 lokusu kuantum örntü eşleşmesi ile %99.9 doğruluktan %99.9999 doğruluğa (lab test).</t>
  </si>
  <si>
    <t>UST DNA Heterozigot mühürlemesi ile genömik 'gürültücü' kısımlar kaldırılır; eşleşme hatası sıfırlanır.</t>
  </si>
  <si>
    <t>Yanlış mahkumiyet (yaniş eşleşme) sıfıra iner. Boşaltma davaları 2 yıldan 2 haftaya iner. Hukuki maliyet azalir.</t>
  </si>
  <si>
    <t>Kuantum DNA eşleşmesi teknik olarak gerçekçi; UST'nin Heterozigot mühürlemesinin buna eklenmesi tanımsız.</t>
  </si>
  <si>
    <t>Yıldızlarıarası İletişim Simul.</t>
  </si>
  <si>
    <t>Kuantum simülasyon ile Proxima Centauri mesafesindeki enerji ve sinyal dâğılımı hesaplanabilir.</t>
  </si>
  <si>
    <t>UST Kanal C ile gurültü 4.2 işık yılı mesafesinde sıfırlanır; anluk iletisim teorik temel kazanır.</t>
  </si>
  <si>
    <t>Eğer gerçekleşirse insanlığın tüm haberleşme altyapısı kökten değişir. Ticari değerden öte uygarlık dönüşümü.</t>
  </si>
  <si>
    <t>Anlk iletisim özel görelilik teorisiyle çelişiyor. Kanal C'nin ışık hızını aşan haberleşme mekanizması fiziksel geçerliliği yok.</t>
  </si>
  <si>
    <t>Üretime Hazır Robot Kalibrasyonu</t>
  </si>
  <si>
    <t>FANUC ve KUKA sanayi robotları her vardiya başında kalibrasyon: %0.01mm hassasiyet. Kuantum sensör ile nanometre hassasiyeti test.</t>
  </si>
  <si>
    <t>UST topolojik hata düzeltme ile robot kalibrasyon sapması fiziksel olarak engellenir; kalibrasyon siklusı kalkar.</t>
  </si>
  <si>
    <t>Sanayi robot bakım maliyeti yıllık %35 düşer. Hata oranı Sıfıra iner. Kalibrasyon teknisyeni görevi otomasyona girer.</t>
  </si>
  <si>
    <t>Kuantum sensör hassasiyeti gerçek; topolojik hata düzeltmenin robotik donanıma entegrasyonu henüz yok. Gerçekçi yol haritasi lazim.</t>
  </si>
  <si>
    <t>Borç ve Kredi Risk Skorlaması</t>
  </si>
  <si>
    <t>FICO + klasik ML kredi skoru. ZestFinance: alternatif veri ile %20 kapsama artışı. Kuantum ML kredi pilot (Mastercard).</t>
  </si>
  <si>
    <t>UST deterministic faz: kişi profili 17 boyutlu topolojik alana çıkarılır; gizli kredi riski faktorürleri görünür.</t>
  </si>
  <si>
    <t xml:space="preserve">Kredi batık oranı %12'den %4'e iner. Banka karli orani yıllık %2 artar. Finansal dışlanmış nüfus kredi erişimine kav. </t>
  </si>
  <si>
    <t>17 boyutlu topolojik kişi profili tanımsız. Kuantum ML kredi pilot gerçek. GDPR/gizlilik engeli aşılamaz.</t>
  </si>
  <si>
    <t>Pil Devresiz Elektrik Depolama</t>
  </si>
  <si>
    <t>SunPower ve AES Fluence: redoks akış batarya kuantum simülasyon ile elektrolit optimize ediliyor.</t>
  </si>
  <si>
    <t>UST Vb harmonik oranı elektrolit akış dinamiklerini tek dengeye kilitler; enerji kaybisiz depolama.</t>
  </si>
  <si>
    <t>Grid enerji depolama maliyeti $300/MWh'den $80/MWh'e iner. Yenilenebilir enerji gece kullanımı gerçekleşir.</t>
  </si>
  <si>
    <t>Vb oranı elektrokimyaya baglanti tanımsız. Kuantum simül. elektrolit arayışı gerçekçi ama UST katmansiz yapılabilir.</t>
  </si>
  <si>
    <t>Savunma / Radar Algılama</t>
  </si>
  <si>
    <t>Raytheon kuantum radar: tek foton tespiti ile stealth uçağı 25km'de tespit (lab). Ticari yok.</t>
  </si>
  <si>
    <t>UST 1/17 süzgeç kuantum radar sinyal gürültüsünü deterministik temizler; 500km tespit mesafesi mümkün.</t>
  </si>
  <si>
    <t>Stealth teknolojisi geçersiz kalır. NATO savunma stratejisi kökten değişir. Kuantum radar pazarı $100B potansiyel.</t>
  </si>
  <si>
    <t>Raytheon tek foton radar lab'da gerçek; 500km'ye götürmek büyük mühendislik atlaması. UST filtresi pratik entegrasyon gerektirir.</t>
  </si>
  <si>
    <t>Uzay Enkazı Takibi</t>
  </si>
  <si>
    <t>ESA Space Debris: 35.000+ parCa takip. Kuantum optik sensör 10cm altindaki enkazı test edebiliyor.</t>
  </si>
  <si>
    <t>UST Ns,q fazı ile her enkaz parçasının gelecek 72 saatlik yolu deterministik hesaplanir.</t>
  </si>
  <si>
    <t>Uydu çarpışma riski sıfıra iner. Kessler sendromu önüne geçilir. SpaceX Starlink sigortası maliyeti %60 düşer.</t>
  </si>
  <si>
    <t>Kuantum optik sensör gerçekçi. Ns,q fazının enkaz yolu hesabına uygulanması tanımsız ama orbital mekaniğ benzer fikir taşıyor.</t>
  </si>
  <si>
    <t>Karantina / Biyogüvenlik Tespiti</t>
  </si>
  <si>
    <t>Kuantum biyosensör: tek molekül düzeyinde COVID-19 tespiti 15 dakikada (lab). Ticari yok.</t>
  </si>
  <si>
    <t>UST spektral süzgeç patojen imzasını milyonlarca numunede paralel ayırt eder; pandemik kaynak belirlenir.</t>
  </si>
  <si>
    <t>Sıfir numon önce mutasyon tespit süresi 48 saatten 2 saate iner. COVID-19 benzeri pandemi 14 gün içinde kontrol altına alınır.</t>
  </si>
  <si>
    <t>Kuantum biyosensör gerçekçi aday; ölçek ve saha dayanıklılığı sorunu. UST spektral katmanı sensör okumasında uygulanabilir.</t>
  </si>
  <si>
    <t>Yenilenebilir Enerji Üretim Tahmini</t>
  </si>
  <si>
    <t>Google DeepMind rüzgar tahmini %20 iyileşme ile DeepMind Al ile Wind Farm kontrolü. Kuantum v. klasik test.</t>
  </si>
  <si>
    <t>UST deterministik faz ile tüm meteorolojik gürültü filtre edilir; enerji üretim tahmini 48 saat hassasiyetle kilitlenir.</t>
  </si>
  <si>
    <t>Yenilenebilir enerji geçişi 2040 yerine 2032'de tamamlanabilir. Karbon hedefleri 8 yıl öne alınır. Enerji piyasası istikrarı $500B tasarruf.</t>
  </si>
  <si>
    <t>DeepMind rüzgar tahmini gerçek. Meteoroloji kaotik sistem; deterministik kilitleme iddiası abartili. Kuantum katki marjinal ama gerçekci.</t>
  </si>
  <si>
    <t>TABLO 4 — GÜNÜMÜZ TEKNOLOJİSİ İLE 50 İŞ KOLUNDA UYGULAMA, MALİYET VE GETİRİ ANALİZİ</t>
  </si>
  <si>
    <t>Kapsam: UST teorisinden bağımsız, YALNIZCA günümüzde mevcut teknolojilerle (AI/ML, IoT, bulut, otomasyon, robotik, büyük veri) her iş kolunda ne yapılabilir? Yatırım maliyeti ve 1-3-5 yıl içinde beklenen finansal getiri. Tüm değerler USD. Getiri tahmini: orta-iyimser senaryo, sektör benchmark'larına dayalı.</t>
  </si>
  <si>
    <t>İş Kolu</t>
  </si>
  <si>
    <t>Uygulanan Teknoloji (Günümüz)</t>
  </si>
  <si>
    <t>Somut Uygulama / Ne Yapılır</t>
  </si>
  <si>
    <t>Yatırım Maliyeti ($K)</t>
  </si>
  <si>
    <t>1 Yıl Getiri ($K)</t>
  </si>
  <si>
    <t>3 Yıl Kümülatif Getiri ($K)</t>
  </si>
  <si>
    <t>5 Yıl Kümülatif Getiri ($K)</t>
  </si>
  <si>
    <t>ROI 5 Yıl (%)</t>
  </si>
  <si>
    <t>Perakende / E-Ticaret</t>
  </si>
  <si>
    <t>AI kişiselleştirme (Recommendation Engine), talep tahmini, dinamik fiyatlama</t>
  </si>
  <si>
    <t>Amazon Personalize benzeri öneri motoru kurulumu, stok optimizasyonu, sepet terk e-posta otomasyonu</t>
  </si>
  <si>
    <t>Bankacılık / Finans</t>
  </si>
  <si>
    <t>ML dolandırıcılık tespiti, kredi skoru otomasyonu, chatbot müşteri hizmetleri</t>
  </si>
  <si>
    <t>Gerçek zamanlı işlem anomali tespiti (%99.5 doğruluk), chatGPT tabanlı çağrı merkezi otomasyonu, otomatik kredi değerlendirme</t>
  </si>
  <si>
    <t>Sağlık / Hastane</t>
  </si>
  <si>
    <t>AI tanı (radyoloji), hasta akış optimizasyonu, elektronik sağlık kaydı analizi</t>
  </si>
  <si>
    <t>Göğüs röntgeni AI tespiti (TB, kanser), ameliyathane program optimizasyonu, hasta yeniden yatış tahmini</t>
  </si>
  <si>
    <t>Üretim / Fabrika</t>
  </si>
  <si>
    <t>Öngörücü bakım (Predictive Maintenance), görsel kalite kontrol, robot otomasyon</t>
  </si>
  <si>
    <t>Vibrasyon sensörleri + ML ile makine arıza tahmini 72 saat önceden, kamera tabanlı hata tespiti (%98 doğruluk)</t>
  </si>
  <si>
    <t>Tarım</t>
  </si>
  <si>
    <t>Drone tarım, IoT toprak sensörü, AI verim tahmini, hassas sulama</t>
  </si>
  <si>
    <t>Multispektral drone ile bitki sağlığı haritalaması, toprak nem IoT + otomatik sulama, ürün verim tahmini ML</t>
  </si>
  <si>
    <t>Lojistik / Kargo</t>
  </si>
  <si>
    <t>Rota optimizasyonu, depo otomasyon robotiği, talep tahmin sistemi</t>
  </si>
  <si>
    <t>Google OR-Tools rota optimizasyonu, Amazon Kiva benzeri depo robotu, son mil tahmin sistemi</t>
  </si>
  <si>
    <t>İnşaat / Gayrimenkul</t>
  </si>
  <si>
    <t>BIM (Bina Bilgi Modeli), AI proje takip, drone keşif, IoT bina yönetimi</t>
  </si>
  <si>
    <t>Otomatik ilerleme izleme kamera + AI, BIM çakışma tespiti, IoT enerji yönetimi</t>
  </si>
  <si>
    <t>Eğitim / EdTech</t>
  </si>
  <si>
    <t>AI kişiselleştirilmiş öğrenme, otomatik değerlendirme, öğrenci başarı tahmin sistemi</t>
  </si>
  <si>
    <t>Adaptif öğrenme platformu (Khanmigo benzeri), otomatik ödev değerlendirme, risk altındaki öğrenci erken uyarı</t>
  </si>
  <si>
    <t>Hukuk / LegalTech</t>
  </si>
  <si>
    <t>LLM sözleşme analizi, dava tahmin modeli, belge üretimi otomasyonu</t>
  </si>
  <si>
    <t>Harvey AI benzeri sözleşme inceleme (100 sözleşme/saat), içtihat araştırma otomasyonu, GDPR uyumluluk tarama</t>
  </si>
  <si>
    <t>Muhasebe / Denetim</t>
  </si>
  <si>
    <t>RPA fatura işleme, AI anomali tespiti, otomatik finansal raporlama</t>
  </si>
  <si>
    <t>UiPath/AA RPA ile fatura girişi %100 otomasyonu, GL anomali tespiti, otomatik vergi hesaplama</t>
  </si>
  <si>
    <t>Enerji / Elektrik Üretim</t>
  </si>
  <si>
    <t>AI enerji tahmini, akıllı şebeke, öngörücü arıza bakımı</t>
  </si>
  <si>
    <t>SCADA + ML ile türbin arıza tahmini, şebeke yük dengeleme, yenilenebilir üretim tahmini (±5% hata)</t>
  </si>
  <si>
    <t>Sigorta</t>
  </si>
  <si>
    <t>AI hasar tespiti, telematik tabanlı sigorta, underwriting otomasyonu</t>
  </si>
  <si>
    <t>Araç hasar fotoğraf AI analizi (Tractable benzeri), davranışsal sürüş skoru, otomatik talep işleme</t>
  </si>
  <si>
    <t>Telekomünikasyon</t>
  </si>
  <si>
    <t>Ağ anomali tespiti, churn (müşteri kaybı) tahmini, AI ağ yönetimi</t>
  </si>
  <si>
    <t>ML ile 30 gün önceden churn tahmini (%85 doğruluk), 5G ağ optimizasyon otomasyonu, ticket yönlendirme AI</t>
  </si>
  <si>
    <t>Otomotiv Üretim</t>
  </si>
  <si>
    <t>Dijital ikiz (Digital Twin), AI kalite kontrol, otonom fabrika lojistiği</t>
  </si>
  <si>
    <t>BMW/Toyota tarzı dijital ikiz ile prototip test süresi %40 kısaltma, kaynak kaynağı görsel AI denetimi</t>
  </si>
  <si>
    <t>İlaç / Biyoteknoloji</t>
  </si>
  <si>
    <t>AlphaFold3, generatif molekül tasarımı (GenMol), klinik deneme optimizasyonu</t>
  </si>
  <si>
    <t>AlphaFold3 ile protein yapı tahmini, hasta uygunluk AI filtresi klinik deneme için, ilaç-hedef etkileşimi ML</t>
  </si>
  <si>
    <t>Medya / İçerik Üretimi</t>
  </si>
  <si>
    <t>Generatif AI (metin, görsel, video), içerik kişiselleştirme, SEO otomasyonu</t>
  </si>
  <si>
    <t>GPT-4 tabanlı makale üretimi, Midjourney/DALL-E görsel, AI video özet (YouTube Shorts tarzı otomatik klip)</t>
  </si>
  <si>
    <t>Turizm / Otelcilik</t>
  </si>
  <si>
    <t>Dinamik fiyatlama, AI concierge, talep tahmini, otomatik check-in</t>
  </si>
  <si>
    <t>Revenue management AI (Duetto benzeri), chatbot otel asistanı 7/24, yüz tanıma ile hızlı check-in</t>
  </si>
  <si>
    <t>Gıda Üretim / FMCG</t>
  </si>
  <si>
    <t>AI kalite kontrol, öngörücü bakım, tedarik zinciri görünürlüğü (blockchain)</t>
  </si>
  <si>
    <t>Konveyör bandı görsel AI ile ürün hataları tespiti (%99.2 doğruluk), blockchain ile son kullanım tarihi takibi</t>
  </si>
  <si>
    <t>Madencilik / Doğal Kaynak</t>
  </si>
  <si>
    <t>Drone haritalama, AI jeoloji analizi, otonom maden araçları</t>
  </si>
  <si>
    <t>Komatsu/Rio Tinto tarzı otonom kamyon operatörsüz, drone LiDAR ile rezerv haritalama, havalandırma AI optimizasyonu</t>
  </si>
  <si>
    <t>Tekstil / Moda</t>
  </si>
  <si>
    <t>AI tasarım, talep tahmini, sanal kalıp, sürdrülebilirlik izleme</t>
  </si>
  <si>
    <t>Trend tahmini AI (Heuritech benzeri), sanal kalıp ile üretim israfı %30 azaltma, e-ticaret boyut öneri AI</t>
  </si>
  <si>
    <t>Gayrimenkul Yatırım</t>
  </si>
  <si>
    <t>AI fiyat tahmini, sanal tur, müşteri eşleştirme, pazar analizi</t>
  </si>
  <si>
    <t>Zillow/Endeksasa benzeri AVM modeli, 360 derece sanal tur otomasyonu, alıcı-satıcı eşleştirme algoritması</t>
  </si>
  <si>
    <t>Ulaşım / Toplu Taşıma</t>
  </si>
  <si>
    <t>Akıllı trafik yönetimi, otonom seferleri, yolcu tahmini</t>
  </si>
  <si>
    <t>AI trafik ışığı adaptif kontrol, otobüs doluluk tahmini, yolculuk talep tahmini bazında sefer planlaması</t>
  </si>
  <si>
    <t>Güvenlik / CCTV</t>
  </si>
  <si>
    <t>Yüz tanıma, anomali tespiti, akıllı kamera analizi, kalabalık yönetimi</t>
  </si>
  <si>
    <t>CCTV + AI kalabalık yoğunluk algılama, bırakılmış nesne tespiti, ANPR otomatik plaka tanıma</t>
  </si>
  <si>
    <t>Su / Atıksu Yönetimi</t>
  </si>
  <si>
    <t>IoT boru hatı izleme, AI arıtma optimizasyonu, sızıntı tespiti</t>
  </si>
  <si>
    <t>AküstiK sensör + ML ile boru sızıntısı tespiti (%85 doğruluk), arıtma kimyasal dozaj AI optimizasyonu</t>
  </si>
  <si>
    <t>Kimya / Petrokimya</t>
  </si>
  <si>
    <t>Proses optimizasyonu AI, öngörücü bakım, dijital ikiz reaktor</t>
  </si>
  <si>
    <t>BASF/Shell tarzı reaktor dijital ikiz ile verim optimizasyonu (%8-12), SCADA + ML ile arıza öncesi uyarı</t>
  </si>
  <si>
    <t>Havacılık / Hava Kargo</t>
  </si>
  <si>
    <t>AI bakım tahmini, yakıt optimizasyonu, operasyon planlama</t>
  </si>
  <si>
    <t>Airbus Skywise benzeri motor arıza tahmini, AI tabanlı yakıt yükleme miktarı optimizasyonu (%2-4 tasarruf)</t>
  </si>
  <si>
    <t>Denizcilik / Liman</t>
  </si>
  <si>
    <t>Otonom gemi sürmesi, liman operasyon AI, konteyner planlama</t>
  </si>
  <si>
    <t>Rolls-Royce otonom gemi navigasyon (IMO onay bekliyor), Rotterdam limanı tarzı AI konteyner yerleşim planlaması</t>
  </si>
  <si>
    <t>Kamu Hizmetleri / Belediye</t>
  </si>
  <si>
    <t>AI vatandaş hizmetleri, IoT akıllı şehir, veri analiği politika destek</t>
  </si>
  <si>
    <t>7/24 chatbot vatandaş şikayet yönetimi, IoT atık toplama rota optimizasyonu, parkömtrü doluluk sensörü</t>
  </si>
  <si>
    <t>Sağlık Sigortası</t>
  </si>
  <si>
    <t>Wearable veri analizi, hastalık risk skoru, talep tahmini</t>
  </si>
  <si>
    <t>Apple Watch/Galaxy Watch veri analizi ile kronik hastalık risk skoru, preventif bakım tetikleyici, hasar ön tahmini</t>
  </si>
  <si>
    <t>Ruh Sağlığı / Terapi</t>
  </si>
  <si>
    <t>AI destekli terapi (Woebot benzeri), erken kriz tespiti, duygu analizi</t>
  </si>
  <si>
    <t>Woebot/Wysa benzeri CBT chatbot, sosyal medya duygu analizi ile intihar riski erken uyarı, dijital ilacc sigortass entegrasyon</t>
  </si>
  <si>
    <t>Enerji / Güneş-Rüzgar</t>
  </si>
  <si>
    <t>AI üretim tahmini, panel arıza tespiti, enerji depolama optimizasyonu</t>
  </si>
  <si>
    <t>Drone ile solar panel termal kamera denetimi, ML ile rüzgar türbini kanat arıza tahmini, batarya şarj döngüsü AI</t>
  </si>
  <si>
    <t>Ormancılık / Çevre</t>
  </si>
  <si>
    <t>Uydu görüntü analizi, AI yangın tespiti, biyocesçitlilik haritalama</t>
  </si>
  <si>
    <t>Planet Labs uydu + CV ile ormansızlaşma tespiti (haftalık güncelleme), IoT sensor + AI yangın önce uyarı (%78 erken tespit)</t>
  </si>
  <si>
    <t>Eczacılık / Zincir Eczane</t>
  </si>
  <si>
    <t>AI stok tahmini, robot ilacc hazırlama, ilacc uyum takibi</t>
  </si>
  <si>
    <t>Xencor/Omnicell benzeri otomatik dozaj hazırlama robotu, ML ile hastalık mevsimsellik tahmini + stok</t>
  </si>
  <si>
    <t>Arama / Kurtarma (Afet)</t>
  </si>
  <si>
    <t>Drone arama, AI enkaz analizi, IoT hayatta kalan tespiti</t>
  </si>
  <si>
    <t>Termal drone + AI ile enkaz altında hayatta kalan tespiti, kızılötesi + CV geçmiş deprem verisi ile bina risk sınıf.</t>
  </si>
  <si>
    <t>Spor / Performans Analizi</t>
  </si>
  <si>
    <t>Hareket analizi AI, yatlı takip, yaralanma tahmin modeli</t>
  </si>
  <si>
    <t>Catapult/STATSports GPS vest + ML ile yorgunluk skoru, sakatlanma riski tahmini, rakip taktik analiz video AI</t>
  </si>
  <si>
    <t>Mimarlık / Tasarım</t>
  </si>
  <si>
    <t>Generatif AI tasarım, BIM optimizasyonu, VR / AR sunum</t>
  </si>
  <si>
    <t>Midjourney + Stable Diffusion ile konsept tasarım hızlandırma (%60 zaman tasarrufu), BIM enerji simülasyonu</t>
  </si>
  <si>
    <t>Baskı / Ambalaj</t>
  </si>
  <si>
    <t>Görsel kalite AI, sipariş tahmini, malzeme optimizasyonu</t>
  </si>
  <si>
    <t>Kamera + CV ile baskı hata tespiti gerçek zamanlı, ML ile müşteri sipariş tahminlemesi, ink optimizasyonu AI</t>
  </si>
  <si>
    <t>Fintech / Ödeme Sistemleri</t>
  </si>
  <si>
    <t>Gerçek zamanlı dolandırıcılık tespiti, AI onay motoru, otomatik mutabakat</t>
  </si>
  <si>
    <t>Stripe/Adyen tarzı ML fraud engine (milisaniyede karar), open banking veri ile kredi kararı, RPA mutabakat otomasyonu</t>
  </si>
  <si>
    <t>Veterinerlik / Hayvan Sağlığı</t>
  </si>
  <si>
    <t>AI görüntü tanısı, wearable hayvan izleme, beslenme optimizasyonu</t>
  </si>
  <si>
    <t>Derin öğrenme ile hayvan cilt/göz hasalık tespiti, GPS + AItavuk/büyükbaş sağlık izleme, otomatik aşı hatırlatıcı</t>
  </si>
  <si>
    <t>E-Devlet / Kamu Dijital</t>
  </si>
  <si>
    <t>OCR belge otomasyonu, chatbot hızlı hâl hizmetleri, veri analitiği karar destek</t>
  </si>
  <si>
    <t>E-turizm/e-vergi tarzı entegrasyon, LLM tabanlı sorgu chatbot, gelir kaybı tespiti anomali modeli</t>
  </si>
  <si>
    <t>Reklam / Dijital Pazarlama</t>
  </si>
  <si>
    <t>Programatik reklam, AI hedefleme, duygu analizi, kişisleştirme</t>
  </si>
  <si>
    <t>Meta/Google AI ile hedef kitle segmentasyonu, A/B testi otomasyonu, AI copy optimizasyonu (CTR %30 artış)</t>
  </si>
  <si>
    <t>Uzaktan Çalışma / İK Teknolojisi</t>
  </si>
  <si>
    <t>AI işe alım, çalışan performans analizi, otomasyon iş akışları</t>
  </si>
  <si>
    <t>LinkedIn AI cv tarama, Workday/SAP Joule ile performans analizi, otomasyon izin/bordro iş akışları</t>
  </si>
  <si>
    <t>Oyun / e-Spor</t>
  </si>
  <si>
    <t>AI oyuncu eşleştirme, generatif oyun içeriği, cheat tespiti</t>
  </si>
  <si>
    <t>VALORANT/LoL tarzı AI anti-cheat (davranış analizi), generatif NPC diyalogı (GPT-4), dinamik seviye zorluğu</t>
  </si>
  <si>
    <t>Yayıncılık / OTT Streaming</t>
  </si>
  <si>
    <t>AI içerik önerisi, otomatik altyazı/dublaj, izleme analitiği</t>
  </si>
  <si>
    <t>Netflix tarzı collaborative filtering 2.0, Whisper tabanlı otomatik altyazı + çeviri, izleme terk analizi</t>
  </si>
  <si>
    <t>Biyomühendislik / Medikal Cihaz</t>
  </si>
  <si>
    <t>AI görüntü analizi, wearable vital izleme, prediktif klinik karar destek</t>
  </si>
  <si>
    <t>Apple Watch ECG + AI AF tespiti, oksijenasyon ML anormali algılama, ICU hasta erken bozulma skoru (NEWS2 + AI)</t>
  </si>
  <si>
    <t>Seyahat / Tur Acentesi</t>
  </si>
  <si>
    <t>AI seyahat planlama, dinamik paket fiyatlama, müşteri hizmetleri chatbot</t>
  </si>
  <si>
    <t>ChatGPT tabanlı kişiselleştirilmiş tur paketi önerisi, Amadeus fiyat API + dinamik fiyat motoru, 7/24 bot</t>
  </si>
  <si>
    <t>Cam / Seramik Üretim</t>
  </si>
  <si>
    <t>Görsel kalite AI, fırın enerji optimizasyonu, öngörücü bakım</t>
  </si>
  <si>
    <t>Hiperspüe spektral kamera + CV ile çatlak/renk hataları tespiti, fırın sıcaklık profili ML optimizasyonu (%8 enerji)</t>
  </si>
  <si>
    <t>Tarımsal Finans / Mikro Kredi</t>
  </si>
  <si>
    <t>Uydu+AI mahsul değerlendirme, alternatif kredi skoru, mobil ödeme</t>
  </si>
  <si>
    <t>Satellogic uydu görüntüsü + ML ile hasad getiri skoru, bankaşlanamamış çiftci için alternatif skor, M-Pesa tarzı</t>
  </si>
  <si>
    <t>Kimya / Lab Analiz</t>
  </si>
  <si>
    <t>Robot lab asistan, AI spektroskopi analizi, otomatik raporlama</t>
  </si>
  <si>
    <t>Labware LIMS + AI ile deney sonuç anormali tespiti, Opentrons robot ile örnek hazırlama %80 otomasyon</t>
  </si>
  <si>
    <t>Savunma / Askeri Lojistik</t>
  </si>
  <si>
    <t>Otonom kargo drone, AI tehdit analizi, lojistik optimizasyon</t>
  </si>
  <si>
    <t>DARPA tarzı otonom kargo insansiz, AI istihbarat görüntü analizi, malzeme talep tahmin ve ön konumlandırma AI</t>
  </si>
  <si>
    <t>TOPLAM / PORTFÖY ORTALAMASI</t>
  </si>
  <si>
    <t>50 iş kolu</t>
  </si>
  <si>
    <t>AI / ML / IoT / RPA / Drone / Generatif AI</t>
  </si>
  <si>
    <t>Otomasyon, optimizasyon, tahmin, kalite kontrol</t>
  </si>
  <si>
    <t>ORTALAMA (tek proje başına)</t>
  </si>
  <si>
    <t>TABLO 5 — UST KABULÜ VARSAYILARAK: GÜNÜMÜZ TEKNO. + UST BİRLEŞİMİ İLE 50 İŞ KOLUNDA UYGULAMA, MALİYET VE GETİRİ</t>
  </si>
  <si>
    <t>Varsayım: UST teorisi Euclid 2026 Q2 ile doğrulandı. 1/17 spektral filtre, ONL faz sistemi, TOm eşiği, Vb harmonik oranı ve Kanal C topolojisi mevcut bilgisayar sistemlerine entegre edilebilir hale geldi. Bu tablodaki getiriler UST donanım/yazılım katmanının eklediği artışı yansıtır. Tablo 4 ile karşılaştırılabilir.</t>
  </si>
  <si>
    <t>Eklenen UST Katmanı + Mevcut Teknoloji</t>
  </si>
  <si>
    <t>UST ile Yapılan Somut Uygulama</t>
  </si>
  <si>
    <t>3 Yıl Küm. Getiri ($K)</t>
  </si>
  <si>
    <t>5 Yıl Küm. Getiri ($K)</t>
  </si>
  <si>
    <t>Tıp / MRI Görüntüleme</t>
  </si>
  <si>
    <t>AI tanı + UST 1/17 spektral filtre (donanımsal gürültü eliminasyonu)</t>
  </si>
  <si>
    <t>Mevcut 3T MRI’ye UST filtre katmanı eklenir; tümör sınırı 0.1mm’den 0.01mm hassasiyete iner. Biyopsi sayısı %70 azalır, erken kanser tespit %40 artar. Hastane başına yıllık 1.200 ek doğru tanı.</t>
  </si>
  <si>
    <t>IBM/Google kübit sistemi + UST topolojik hata düzeltme (1 fiziksel kübit yeterli)</t>
  </si>
  <si>
    <t>UST topolojik mühürlemesi ile 10.000 fiziksel kübit yerine 1 mantıksal kübit yeterli olur. Kriyo altyapısı ortadan kalkar. Sistem maliyeti %95 düşer, ticari kiralandırılabilir.</t>
  </si>
  <si>
    <t>Yapı Kontrol / Deprem Güvenlik</t>
  </si>
  <si>
    <t>IoT yapı sensörü + UST TOm eşigi deterministik fay gerilimi izleme</t>
  </si>
  <si>
    <t>Koçak, AFAD, belediye: her bina için TOm eşiği izleme agı. Kritik eşige ulaşılınca otomatik tahliye tetiklenir; yanlış alarm yerine %95 kesinlik. Türkiye pazarında 14 milyon bina.</t>
  </si>
  <si>
    <t>Yapay Zeka / LLM Üretici</t>
  </si>
  <si>
    <t>GPT-4/Claude altyapısı + UST ONL faz sayı sistemi (hallusinasyon engeli)</t>
  </si>
  <si>
    <t>ONL faz katmanı LLM aktivasyon fonksiyonuna eklenir; çıktı hallusinasyon oranı %3→%0 düşer. Tıp, hukuk, finans gibi sıfır hata toleranslı alanlarda ticari lisans.</t>
  </si>
  <si>
    <t>İlaç Keşfi / Biyoteknoloji</t>
  </si>
  <si>
    <t>AlphaFold3 + UST gurültüsüz spektral analiz (sıfır hatalı protein tasarımı)</t>
  </si>
  <si>
    <t>Protein enerji minimizasyon hesabında UST tek doğru katlanmaya kilitler. Klinik öncesi süre 24 aydan 4 aya iner. Faz II başarısızlık oranı %50→%15. Yıllık 3 yeni molekül ticarileşir.</t>
  </si>
  <si>
    <t>Enerji Şebekesi / Akıllı Grid</t>
  </si>
  <si>
    <t>SCADA + ML + UST Vb harmonik oranı (frekans dengeleme kilidi)</t>
  </si>
  <si>
    <t>UST Vb=1.1954 harmonik oranı ile şebeke frekansı deterministik kilitlenir; kayip %6→%1.2. Kapasite planlama otomatik. Siyah kutu riskli öngörülmez kesintiler biter.</t>
  </si>
  <si>
    <t>Siber Güvenlik / Ağ</t>
  </si>
  <si>
    <t>Mevcut firewall/IDS + UST RA sızıntı sabiti fiziksel ağ mühürleme</t>
  </si>
  <si>
    <t>RA sabiti ile ağ paketinin topolojik imzası sabitlenir; imza dışı trafikler fiziksel olarak kesilir. Sıfır-gün açıkları kapsam dışı kalır. Devlet/savunma ağ sertifika satışı.</t>
  </si>
  <si>
    <t>5G RF altyapısı + UST 1/17 spektral kanal süzgeci</t>
  </si>
  <si>
    <t>1/17 filtreli chip mevcut 5G baz istasyonuna eklenir; gürültü bandı sıfırlanır, latency 1ms→&lt;0.01ms. 6G altyapısına geçiş süresi 10 yıldan 3 yıla iner. Chip lisans geliri.</t>
  </si>
  <si>
    <t>Finans / Borsa Risk Yönetimi</t>
  </si>
  <si>
    <t>HFT altyapısı + UST UQS mühürlü an protokolü (gecikme sıfır)</t>
  </si>
  <si>
    <t>Borsa işlemi UQS zaman damgası ile mühürlenür; geçmişe dönük manipulasyon fiziksel imkânsızlaşır. Risk modeli stokastikten deterministik faz analizine geçer. Finansal kriz erken uyarı +3 hafta.</t>
  </si>
  <si>
    <t>Otonom Araç / Güvenlik</t>
  </si>
  <si>
    <t>Sensor fuzüyön + UST Ns,q faz koordinasyonu (araçlar arasi deterministik görüş)</t>
  </si>
  <si>
    <t>Araçlar Ns,q faz imzasıyla birbirini 360 derece alglar; çarpışma fiziksel imkânsızlaşır. Kaza sigortAsı sıfırlanır. OEM lisans geliri ve V2X altyapı satışı.</t>
  </si>
  <si>
    <t>Lojistik / Tedarik Zinciri</t>
  </si>
  <si>
    <t>Rota optimizasyonu + UST deterministik entropi sıfırlama (israf elimine)</t>
  </si>
  <si>
    <t>UST entropi korunumu kuralı ile stok-üretim-dağıtım üçlüsü tek mantıksal optimuma kilitlenir. Boş sefer %22→%3. Gıda israfı %30→%4. Yıllık tasarruf $80B global. SaaS lisans.</t>
  </si>
  <si>
    <t>Bankacılık / Kredi</t>
  </si>
  <si>
    <t>ML kredi skor + UST 17 boyutlu ONL profil analizi</t>
  </si>
  <si>
    <t>Müşteri 17 ONL boyutuna góre topolojik profillenir; gizli kredi riski faktörleri görünür olur. Temerrut oranı %12→%3. Bankaşlanamamış 1.4B nüfus kredi kapsamına girer.</t>
  </si>
  <si>
    <t>Gıda Üretim / Tarım</t>
  </si>
  <si>
    <t>Drone IoT + UST P:Q=3:2 ekoloji denge oranı (sulama/gübre kilidi)</t>
  </si>
  <si>
    <t>UST P:Q oranı ile tarımsal girdi (su, gübre, pestisit) tek denge noktasına kilitlenir. Su tasarrufu %25, verim kaybı %30 azalma, gıda maliyeti %12 düşüş.</t>
  </si>
  <si>
    <t>Pred. bakım + UST topolojik hata düzeltme (makine faz kilidi)</t>
  </si>
  <si>
    <t>UST topolojik faz imzası her makinenin çalışma frekansına kilitlenir; sapma anında durdurma. Plansiz duruş sıfır. Kalite red oranı %0.8→%0.02.</t>
  </si>
  <si>
    <t>LegalTech LLM + UST Kanal C kanıt süzgeci (mutlak gerçek mühürleme)</t>
  </si>
  <si>
    <t>Delil zinciri UST filtresiyle şüpheli veriden arındırılır; yanlış mahkumiyet fiziksel sıfırlanır. Dava çözüm süresi %60 azalır. Devlet mahkeme verimlilik satışı.</t>
  </si>
  <si>
    <t>Otonom maden + UST topolojik faz haritacılığı (rezerv kilidi)</t>
  </si>
  <si>
    <t>Seismic veri + UST faz analizi ile jeolojik rezerv sınırı %0.1 hata marjıyla belirlenir. Yanlış kazan maliyeti sıfırlanır. Sondaj başarısızlığı %40→%5.</t>
  </si>
  <si>
    <t>Eğitim / Beyin Döngüsu</t>
  </si>
  <si>
    <t>Adaptif LMS + UST 17-periyot döngü takvimi (beyin kilidi)</t>
  </si>
  <si>
    <t>Spaced-repetition UST 17-periyot biyolojik döngüsine kilitlenir; kalıcı öğrenme hızı 3x artar. Okul müfredati sıkıştırılır: 4 yıllık müfredat 18 ayda tamamlanır. B2B SaaS.</t>
  </si>
  <si>
    <t>Nükleer Enerji / Fuzyon</t>
  </si>
  <si>
    <t>Plazma AI kontrol + UST topolojik mühürleme (MHD kararsızlık engeli)</t>
  </si>
  <si>
    <t>Tokamak plazma düz kaymasını UST topolojik mühür engeller. Kararsızlık süresi dakikadan saatlere çıkar. ITER net enerji kazancı 3 yıl öne alınır. Reaktor işletimi lisansı.</t>
  </si>
  <si>
    <t>Recommendation engine + UST ONL faz kişiselleştirme (sıfır hallus. öneri)</t>
  </si>
  <si>
    <t>UST ONL ile müşteri satın alma kararının faz imzası tanımlanır; yanlış öneri sıfırlanır. Dönüşüm oranı %2.5→%8. Sepet terk %65→%30. Yıllık gelir artışı %40.</t>
  </si>
  <si>
    <t>Liman AI konteyner + UST deterministik lojistik (sıfır boş sefer)</t>
  </si>
  <si>
    <t>Konteyner yerleşim UST entropi kuralıyla tek optimuma kilitlenir; bekleme süresi %50 azalır. Yakıt %20 düşüş. Rotterdam/Singapore tipi liman lizans pazarı.</t>
  </si>
  <si>
    <t>Havacılık / Bakım</t>
  </si>
  <si>
    <t>Motor pred. bakım + UST faz-kilidi titreşim anömali tespiti</t>
  </si>
  <si>
    <t>Motor titreşim faz imzası UST ile kilitlenir; 0.001mm sapma anında uyarı. Beklenmedik motor arızası sıfırlanır. Uptime %99.4→%99.97. Bakım maliyeti %35 düşüş.</t>
  </si>
  <si>
    <t>Wearable + UST TOm biyolojik eşik izleme (hastalık anlama kilidi)</t>
  </si>
  <si>
    <t>Apple Watch veri + UST TOm eşiği ile kronik hastalık geçiş anı belirlenir; preventif müdahale tetiklenir. Hasar oranı %18 azalır. Prim fiyatlama kesiksiz dinamik.</t>
  </si>
  <si>
    <t>Reaktor dijital ikiz + UST spektral normalizasyon (reaksiyon kilidi)</t>
  </si>
  <si>
    <t>Kimyasal reaksiyon denge noktası UST ile tek optimum sıcaklık/basınç kombinasyonuna kilitlenir. Verim %8→%22 artış. Enerji tüketimi %15 azalır.</t>
  </si>
  <si>
    <t>Güvenlik / Savunma Radar</t>
  </si>
  <si>
    <t>Kuantum radar + UST 1/17 süzgeç (500km stealth tespiti)</t>
  </si>
  <si>
    <t>Mevcut radar + UST 1/17 filtre chip: stealth uçağı 25km→500km tespiti. Hava savunma stratejisi kökten değişir. NATO/devlet satışı.</t>
  </si>
  <si>
    <t>Bina / HVAC Enerji</t>
  </si>
  <si>
    <t>Siemens HVAC AI + UST Vb harmonik bina titreşim kilidi</t>
  </si>
  <si>
    <t>Bina titreşim frekansı UST Vb oranına kilitlenir; HVAC yükleri en düşük depremsel + termal noktada çalışır. Enerji tük. %30 azalır. Deprem hasarı %50 düşer.</t>
  </si>
  <si>
    <t>Robotik / Sanayi Otomasyon</t>
  </si>
  <si>
    <t>KUKA/ABB robot + UST 17-DOF topolojik hareket kilidi</t>
  </si>
  <si>
    <t>Robot eklem hareketleri UST 17-DOF topolojik serbestlikte deterministik kilitlenir; insan kası hassasiyeti aşılır. Kalibrasyon sıfır, dokunmatik montaj mikron hassasiyetinde.</t>
  </si>
  <si>
    <t>Uydu+ML mahsul skoru + UST ONL topolojik risk profili</t>
  </si>
  <si>
    <t>UST ONL ile çiftci risk profili gelir, toprak, hava verisinden topolojik imza çıkarır; gizli default riski görünür olur. Temerrut %15→%4. 300M bankasiz çiftci kapsamı girer.</t>
  </si>
  <si>
    <t>Ormancılık / İklim</t>
  </si>
  <si>
    <t>Uydu CV yangın + UST P:Q=3:2 ekoloji denge tespiti</t>
  </si>
  <si>
    <t>Orman yangını riski UST P:Q ekoloji dengesi bozulduKtan sonra deterministik tetiklenir; 72 saat önce tahliye. Yangın hasarı %60 azalır. Karbon kredisi pazarı geliri.</t>
  </si>
  <si>
    <t>Uzay Araştırma / Navigasyon</t>
  </si>
  <si>
    <t>Atom interferometre GPS + UST UQS evrensel kuantum saat kilidi</t>
  </si>
  <si>
    <t>Uzay aracı konum hatasi UQS ile milimetreye iner; GPS bağlantısız derin uzay navigasyonu mümkün. Mars misyon hatası 200km→2km. Ticari nav lisansı.</t>
  </si>
  <si>
    <t>IoT boru + UST entropi sıfırlama (kayıp kilidi)</t>
  </si>
  <si>
    <t>Boru hattı basınç faz imzası UST ile kilitlenir; sapma anında müm kayıp noktası belirlenir. Kayıp oranı %30→%3. Küresel su israfı yıllık $14B tasarruf.</t>
  </si>
  <si>
    <t>Medikal Cihaz / BCI</t>
  </si>
  <si>
    <t>Neuralink chip + UST 1/17 nöron sinyal filtresi</t>
  </si>
  <si>
    <t>Nöron elektrik sinyali UST 1/17 ile filtrelenir; düşünce—makine aktarımı gürültüsüz. Felc hastası motor kontrolu %90 geri kazanır. BCI pazarı 2030'da $45B.</t>
  </si>
  <si>
    <t>Medya / İçerik</t>
  </si>
  <si>
    <t>Generatif AI + UST ONL faz içerik doğrulama (sıfır dezenformasyon)</t>
  </si>
  <si>
    <t>UST ONL imzası her üretilen içerige topolojik gerçeklik damgası atar; derin sahte icerik (deepfake) tespiti %100. Platform güvenlik SaaS.</t>
  </si>
  <si>
    <t>Fintech / Ödeme</t>
  </si>
  <si>
    <t>ML dolandırıcılık tespiti + UST RA sabit imzalı işlem mühürleme</t>
  </si>
  <si>
    <t>Her ödeme işlemi RA fiziksel imzasıyla mühürlenür; imza bozulursa işlem iptal. Dolandırıcılık sıfır. Geri iade maliyeti ($80B global) biter.</t>
  </si>
  <si>
    <t>Gayrimenkul / Değerleme</t>
  </si>
  <si>
    <t>Fiyat AI modeli + UST topolojik pazar faz analizi</t>
  </si>
  <si>
    <t>Emlak fiyat balonu UST faz analizi ile mühürlenür; köprük tespiti 18 ay önceden yapılır. Yanlış değerleme %40→%2. Banka teminat riski azalır.</t>
  </si>
  <si>
    <t>Trend AI + UST ONL renk-desen faz tahmini</t>
  </si>
  <si>
    <t>Müşteri satın alma kararının ONL faz imzası tasarim aşamasında ön görülur; iade oranı %35→%8. Stok israfı %40 azalır. H&amp;M/Zara tarzı fast-fashion kaybı telafi edilir.</t>
  </si>
  <si>
    <t>Solar/wind izleme + UST Vb harmonik üretim kilidi</t>
  </si>
  <si>
    <t>Rüzgar türbini ve solar panel çıkış frekansı UST Vb≈1.1954 oranıyla kilitlenir; çevirme kayıpları %19 azalır. 10 yıllık panel ömrü %23 uzar.</t>
  </si>
  <si>
    <t>Revenue AI + UST ONL misafir tercih faz profili</t>
  </si>
  <si>
    <t>Misafir tercihlerinin ONL profili ile odasında herşey (sıcaklık, aydınlatma, yiyecek) kilitlenir; iptal oranı %22→%6. Misafir memnuniyeti +18 NPS puan.</t>
  </si>
  <si>
    <t>Muhasebe / Vergi Denetimi</t>
  </si>
  <si>
    <t>RPA+AI denetim + UST Kanal C muhasebe hata süzgeci</t>
  </si>
  <si>
    <t>Her finansal işlem Kanal C filtresiyle gürültüden (hata ve sahtekarlık) arındırılır; vergi kaçağı tespiti %55→%95 doğruluk. Denetim süresi %70 azalır.</t>
  </si>
  <si>
    <t>Reklamcılık / Dijital Pazarlama</t>
  </si>
  <si>
    <t>Programatik AI + UST ONL alıcı karar faz kilidi</t>
  </si>
  <si>
    <t>Reklam hedefleme UST ONL ile kullanıcı satın alma fazına çıkmadan önce yapılır; yanlış hedef sıfırlanır. ROAS %3.2→%9.8. Reklam israfı $500B global’in %40’ı biter.</t>
  </si>
  <si>
    <t>V2X altyapısı + UST Ns,q faz koordinasyonu (şehir geneli kaza sıfır)</t>
  </si>
  <si>
    <t>Tüm ulaşım araçları UST faz protokolüyle koordine edilir; trafikte çarpışma fiziksel olarak imkânsızlaşır. Sigorta primleri %80 düşer. şehir başına yakıt tasarrufu $2B.</t>
  </si>
  <si>
    <t>Arama / Kurtarma</t>
  </si>
  <si>
    <t>Termal drone + UST TOm eşigi hayatta kalan tespiti</t>
  </si>
  <si>
    <t>Enkaz altındaki hayatta kalanın vital faz imzası UST ile tespiti; 0.01mm kas hareketi yeterli. Kurtarma süresi 48 saatten 6 saate iner. Olasılık tahmini yerine kesinlik.</t>
  </si>
  <si>
    <t>DNA / Adli Bilim</t>
  </si>
  <si>
    <t>NGS dizileme + UST Heterozigot gürültü mühürleme</t>
  </si>
  <si>
    <t>DNA gürültü katmanı UST ile kaldırılır; eşleşme hatası sıfırlanır. Yanlış mahkumiyet bitisir. 60 dakika içinde DNA profillemesi. Adli laboratuvar SaaS.</t>
  </si>
  <si>
    <t>Yayıncılık / Streaming</t>
  </si>
  <si>
    <t>Netflix öneri + UST ONL izleyici karar faz kilidi</t>
  </si>
  <si>
    <t>0 hallusinasyonlu ONL öneri ile izleyici bir sonraki tercihini ilk épisodda öngörür; abonelik iptali %35→%9. Ek kışi başı yıllık $48 gelir artışı.</t>
  </si>
  <si>
    <t>Spor / Performans</t>
  </si>
  <si>
    <t>GPS tracker + UST TOm biyolojik eşik (sakatlanma öncesi kilidi)</t>
  </si>
  <si>
    <t>Kas yorgunluk faz imzası UST TOm eşiğine ulaşmadan önce tespiti; sakatlık önce oyuncu yedege alınır. Premier Lig takımı başına yıllık £30M sakatlık maliyeti %70 azalır.</t>
  </si>
  <si>
    <t>Eczacılık Zinciri</t>
  </si>
  <si>
    <t>Robot dozaj + UST ONL ilaç-hasta uyum kilidi</t>
  </si>
  <si>
    <t>Hasta profili ONL ile ilaç-etkilesim faz imzası hesaplanır; reaksiyon riski önceden tespiti. Geri çağırma olayları sıfırlanır. FDA onay gerekmeyen satışüstü destek.</t>
  </si>
  <si>
    <t>Kamu / E-Devlet</t>
  </si>
  <si>
    <t>OCR+LLM kamu hizmet + UST Kanal C veri doğrulama mühürü</t>
  </si>
  <si>
    <t>Kamu veritabanı UST Kanal C ile mühürlenür; kimlik sahtekarlığı fiziksel imkânsızlaşır. Vatandaş hizmet süresi 20 günden 4 saate iner. Devlet dijital altyapı SaaS.</t>
  </si>
  <si>
    <t>AI oyun motoru + UST ONL oyuncu karar faz profili</t>
  </si>
  <si>
    <t>Oyuncu karar faz imzası ONL ile tanımlanır; cheat deterministik tespiti, eşleştirme dengesi %95+ iyileşir. Abonelik iptali %40 azalır.</t>
  </si>
  <si>
    <t>Yarıiletken / Chip Tasarım</t>
  </si>
  <si>
    <t>EDA aracı + UST Kuantum Hall topolojik iletim mimarisi</t>
  </si>
  <si>
    <t>Transistor akış yolu UST topolojik iletim mimarisiyle yeniden çizilir; 1nm altı node üretim mümkün olur. Çip ısınması %40 azalır. TSMC/Samsung lisans $200B.</t>
  </si>
  <si>
    <t>Malzeme / Süper İletken</t>
  </si>
  <si>
    <t>Kuantum simülasyon + UST topolojik yalıtkanlık mimarisi</t>
  </si>
  <si>
    <t>UST topolojik yalıtkanlık parametreleriyle oda sıcağlığı süper iletken malzeme aday listesi 10.000→50 daralır. Enerji iletim kaybı sıfırlanır. Pazar $2 trilyon.</t>
  </si>
  <si>
    <t>Otonom sistemler + UST Ns,q faz tanımlama (dost-düşman fiziksel kilidi)</t>
  </si>
  <si>
    <t>Her askeri sistem Ns,q faz imzasıyla tanımlanır; dost ateşi fiziksel imkânsızlaşır. Lojistik UST entropi kuralıyla optimize edilir. Malzeme kaybı %60 azalır. NATO satışı.</t>
  </si>
  <si>
    <t>TOPLAM / PORTFÖY</t>
  </si>
  <si>
    <t>50 iş kolu (UST kabulü ile)</t>
  </si>
  <si>
    <t>Mevcut teknoloji + UST 1/17 filtre / ONL / TOm / Vb / Ns,q / Kanal C</t>
  </si>
  <si>
    <t>Deterministik kilit, sıfır hata, faz mühür, kanal tahliye</t>
  </si>
  <si>
    <t>Tablo 4 ile karşılaştırma (UST farkı)</t>
  </si>
  <si>
    <t>Ek UST yatırımı (Tablo5 - Tablo4)</t>
  </si>
  <si>
    <t>Ek UST getirisi (5 yıl)</t>
  </si>
  <si>
    <t>TABLO 6 — UST KABULÜ: 50 İŞ KOLUNA PATENT &amp; LİSANS GELİR TAHİNLERİ</t>
  </si>
  <si>
    <t>Varsayımlar: UST teorisi doğrulandı. Her iş koluna ait uygulamalara patent tescili yapıldı ve lisans anlaşması yapıldı. Gelir = Sabit lisans bedeli + Kullanım bazlı royalty. Royalty oranı: Tıp/Savunma/Chip %8-12, Enerji/Sanayi %5-8, Diğer %2-5. Alıcı saysı: 1. yıl erken benimseyenler, 3-5. yıl pazar benimsemesi. Tüm değerler USD.</t>
  </si>
  <si>
    <t>İş Kolu / Patent Alanı</t>
  </si>
  <si>
    <t>Patent / Lisans Kapsamı</t>
  </si>
  <si>
    <t>Lisans Modeli</t>
  </si>
  <si>
    <t>Aylık Gelir ($K)</t>
  </si>
  <si>
    <t>Yıllık Gelir ($K)</t>
  </si>
  <si>
    <t>3 Yıl Küm. ($K)</t>
  </si>
  <si>
    <t>5 Yıl Küm. ($K)</t>
  </si>
  <si>
    <t>Royalty Oranı (%)</t>
  </si>
  <si>
    <t>Hedef Lisansçı Sayısı (5Y)</t>
  </si>
  <si>
    <t>UST 1/17 spektral filtre chip (MRI donanımı patenti)</t>
  </si>
  <si>
    <t>OEM lisans üretici başına sabit $2M + scan başına $0.80 royalty</t>
  </si>
  <si>
    <t>280 hastane (Global)</t>
  </si>
  <si>
    <t>Kuantum Bilgisayar</t>
  </si>
  <si>
    <t>UST topolojik hata düzeltme algoritması (yazılım + donanım patenti)</t>
  </si>
  <si>
    <t>IBM/Google/IonQ tarzı OEM lisans yıllık $8M + kübit başına $50K SaaS</t>
  </si>
  <si>
    <t>24 küantum firması</t>
  </si>
  <si>
    <t>Deprem Yapı Güvenlik</t>
  </si>
  <si>
    <t>UST TOm eşigi sensör + yazılım sistemi patenti</t>
  </si>
  <si>
    <t>Belediye/Bakımlık başına yıllık $120K SaaS + bina başına $800</t>
  </si>
  <si>
    <t>400 belediye (Global)</t>
  </si>
  <si>
    <t>Yapay Zeka / LLM</t>
  </si>
  <si>
    <t>UST ONL faz katmanı hallusinasyon engel yazlımı patenti</t>
  </si>
  <si>
    <t>OpenAI/Google/Anthropic lisans yıllık $15M + API çağrı başına $0.001</t>
  </si>
  <si>
    <t>Top 40 AI şirketi + kurumsal</t>
  </si>
  <si>
    <t>UST gürültüsüz protein katlanma patenti + klinik öncesi hızlandırma yazılımı</t>
  </si>
  <si>
    <t>Pfizer/Roche/Novo Nordisk: onaylanan ilaç başına $50M milestone + satış royalty %3</t>
  </si>
  <si>
    <t>15 büyük ilacc firması</t>
  </si>
  <si>
    <t>Enerji Şebekesi</t>
  </si>
  <si>
    <t>UST Vb harmonik frekans kilidi yazılım patenti</t>
  </si>
  <si>
    <t>Ulusal şebeke işletmecisi başına yıllık $4M + kWh tasarruf başına %0.5</t>
  </si>
  <si>
    <t>90 şebeke operatörü</t>
  </si>
  <si>
    <t>Siber Güvenlik</t>
  </si>
  <si>
    <t>UST RA topolojik ağ mühürleme donanım+yazılım patenti</t>
  </si>
  <si>
    <t>Devlet/savunma kurumu başına yıllık $6M + node başına $800</t>
  </si>
  <si>
    <t>60 devlet + 200 kurumsal</t>
  </si>
  <si>
    <t>UST 1/17 spektral kanal süzgeç chip patenti</t>
  </si>
  <si>
    <t>Ericsson/Nokia/Huawei: chip başına $12 + baz istasyonu lisans yıllık $2M</t>
  </si>
  <si>
    <t>Top 10 telekom + 500K baz ist.</t>
  </si>
  <si>
    <t>Finans / Borsa Risk</t>
  </si>
  <si>
    <t>UST UQS zaman damgası işlem mühürleme patenti</t>
  </si>
  <si>
    <t>Borsa/clearing house başına yıllık $10M + işlem hacmi başına %0.001</t>
  </si>
  <si>
    <t>80 borsa + clearing house</t>
  </si>
  <si>
    <t>Otonom Araç</t>
  </si>
  <si>
    <t>UST Ns,q çarpışma engel faz koordinasyon patenti</t>
  </si>
  <si>
    <t>Tesla/Toyota/BMW OEM: araç başına $180 + yıllık platform lisans $5M</t>
  </si>
  <si>
    <t>Top 20 OEM + 10M araç</t>
  </si>
  <si>
    <t>UST deterministik entropi optimizasyon patenti</t>
  </si>
  <si>
    <t>DHL/Amazon/Maersk SaaS yıllık $3M + sevkiyat başına $0.12</t>
  </si>
  <si>
    <t>Top 30 lojistik şirketi</t>
  </si>
  <si>
    <t>UST ONL 17-boyutlu kredi risk profili patenti</t>
  </si>
  <si>
    <t>Banka başına yıllık $2M + kredi hacmi başına %0.02</t>
  </si>
  <si>
    <t>200 banka global</t>
  </si>
  <si>
    <t>Tarım / Gıda</t>
  </si>
  <si>
    <t>UST P:Q=3:2 ekoloji denge tarla optimizasyon patenti</t>
  </si>
  <si>
    <t>Tarımsal danışmanlık firması + devlet: hektar başına yıllık $14</t>
  </si>
  <si>
    <t>50M hektar kapsam</t>
  </si>
  <si>
    <t>UST topolojik faz kilidi makine kontrolü patenti</t>
  </si>
  <si>
    <t>Siemens/ABB/Fanuc: makine başına $2.400 lisans + yıllık bakım $600</t>
  </si>
  <si>
    <t>Top 50 OEM + 800K makine</t>
  </si>
  <si>
    <t>Hukuk / Adalet</t>
  </si>
  <si>
    <t>UST Kanal C kanıt süzgeleme yazılım patenti</t>
  </si>
  <si>
    <t>Adalet bakanlığı başına $1.5M + dava başına $120 royalty</t>
  </si>
  <si>
    <t>120 ülke adalet bakanlığı</t>
  </si>
  <si>
    <t>Madencilik</t>
  </si>
  <si>
    <t>UST sismik faz haritası rezerv tespiti patenti</t>
  </si>
  <si>
    <t>Rio Tinto/BHP/Glencore: proje başına $3M + çıkarılan ton başına $0.40</t>
  </si>
  <si>
    <t>Top 20 madencilik şirketi</t>
  </si>
  <si>
    <t>UST 17-periyot spaced repetition öğrenme algoritması patenti</t>
  </si>
  <si>
    <t>Duolingo/Coursera/Khan: platform başına yıllık $800K + aktif kullanıcı başına $1.20</t>
  </si>
  <si>
    <t>200M kullanıcı hedef</t>
  </si>
  <si>
    <t>Nükleer / Fuzyon</t>
  </si>
  <si>
    <t>UST plazma topolojik mühürleme patenti</t>
  </si>
  <si>
    <t>ITER/Commonwealth/TAE: reaktor başına $50M lisans + üretilen MWh başına $0.20</t>
  </si>
  <si>
    <t>12 fuzyon şirketi + ITER</t>
  </si>
  <si>
    <t>UST ONL satın alma kararı faz öneri algoritması patenti</t>
  </si>
  <si>
    <t>Amazon/Alibaba/Shopify: GMV başına %0.03 + platform lisans yıllık $1.5M</t>
  </si>
  <si>
    <t>Top 50 e-ticaret platformu</t>
  </si>
  <si>
    <t>UST konteyner yerleşim entropi optimizasyon patenti</t>
  </si>
  <si>
    <t>Liman işletmecisi başına yıllık $3.5M + konteyner hareketi başına $0.25</t>
  </si>
  <si>
    <t>100 büyük liman global</t>
  </si>
  <si>
    <t>Havacılık</t>
  </si>
  <si>
    <t>UST motor titreşim faz kilidi bakım sistemi patenti</t>
  </si>
  <si>
    <t>Airbus/Boeing/Rolls-Royce: motor başına yıllık $22K + uçuş saati başına $1.80</t>
  </si>
  <si>
    <t>Top 10 havayolu + MRO firma</t>
  </si>
  <si>
    <t>UST TOm biyolojik eşlik izleme sigorta patenti</t>
  </si>
  <si>
    <t>Sigorta şirketi başına yıllık $2M + polie başına $18 royalty</t>
  </si>
  <si>
    <t>Top 30 sigorta şirketi</t>
  </si>
  <si>
    <t>UST reaksiyon denge noktası kilit patenti</t>
  </si>
  <si>
    <t>BASF/Shell/Dow: tesis başına yıllık $4M + ton çıktı başına $0.08</t>
  </si>
  <si>
    <t>Top 20 petrokimya tesisi</t>
  </si>
  <si>
    <t>UST 1/17 stealth tespit radar patenti</t>
  </si>
  <si>
    <t>NATO/devlet: radar sistemi başına $8M + yıllık güncelleme $1.2M</t>
  </si>
  <si>
    <t>38 NATO + ortak ülke</t>
  </si>
  <si>
    <t>UST Vb harmonik bina enerji kilidi patenti</t>
  </si>
  <si>
    <t>Siemens/Honeywell/Johnson: bina başına $1.800 + yıllık abonelik $400</t>
  </si>
  <si>
    <t>500K ticari bina global</t>
  </si>
  <si>
    <t>Robotik / Sanayi</t>
  </si>
  <si>
    <t>UST 17-DOF topolojik hareket kilidi patenti</t>
  </si>
  <si>
    <t>KUKA/Fanuc/ABB: robot başına $3.200 + servis yıllık $800</t>
  </si>
  <si>
    <t>Top 40 robot üreticisi + 1.2M robot</t>
  </si>
  <si>
    <t>Tarımsal Finans</t>
  </si>
  <si>
    <t>UST ONL çiftci topolojik risk profil patenti</t>
  </si>
  <si>
    <t>Mikro finans + merkez bankası: kredi başına %0.15 royalty + yıllık SaaS $500K</t>
  </si>
  <si>
    <t>300M çiftci hedef kapsam</t>
  </si>
  <si>
    <t>Orman / İklim</t>
  </si>
  <si>
    <t>UST P:Q yangın riski tespiti patenti + karbon kredi entegrasyonu</t>
  </si>
  <si>
    <t>Karbon piyasası + sigorta: korunan hektar başına $8 + yangın önce uyarı SaaS $200K/yıl</t>
  </si>
  <si>
    <t>500M hektar orman kapsamı</t>
  </si>
  <si>
    <t>Uzay / Navigasyon</t>
  </si>
  <si>
    <t>UST UQS evrensel kuantum saat navigasyon patenti</t>
  </si>
  <si>
    <t>NASA/ESA/SpaceX: misyon başına $12M + uydyu başına $1.5M lisans</t>
  </si>
  <si>
    <t>Top 15 uzay ajansı + özel</t>
  </si>
  <si>
    <t>Su Yönetimi</t>
  </si>
  <si>
    <t>UST boru hattı faz kilidi sızıntı tespiti patenti</t>
  </si>
  <si>
    <t>Şehir su idaresi başına yıllık $600K + km boru başına $120</t>
  </si>
  <si>
    <t>2.000 şehir su idaresi</t>
  </si>
  <si>
    <t>UST 1/17 nöron sinyal filtre chip patenti</t>
  </si>
  <si>
    <t>Medtronic/Neuralink/Abbott: implant başına $4.500 + yıllık abonelik $900</t>
  </si>
  <si>
    <t>500K implant hasta hedef</t>
  </si>
  <si>
    <t>Medya / Deepfake Engel</t>
  </si>
  <si>
    <t>UST ONL içerik gerçeklik damgası patenti</t>
  </si>
  <si>
    <t>Meta/Google/TikTok: platform başına yıllık $4M + görsel içerik başına $0.0008</t>
  </si>
  <si>
    <t>Top 20 platform + medya</t>
  </si>
  <si>
    <t>UST RA fiziksel imzalı işlem mühür patenti</t>
  </si>
  <si>
    <t>Visa/Mastercard/Stripe: işlem başına $0.00012 + yıllık üyelik $3M</t>
  </si>
  <si>
    <t>Top 15 ödeme şirketi global</t>
  </si>
  <si>
    <t>Gayrimenkul</t>
  </si>
  <si>
    <t>UST topolojik pazar faz balonu tespiti patenti</t>
  </si>
  <si>
    <t>Merkez bankası/banka: değerleme başına $80 + yıllık SaaS $500K</t>
  </si>
  <si>
    <t>100 merkez bankası + banka</t>
  </si>
  <si>
    <t>UST ONL talebin satın alma fazı önce tespiti patenti</t>
  </si>
  <si>
    <t>Zara/H&amp;M/Nike: SKU başına $0.04 royalty + sezon başına $800K lisans</t>
  </si>
  <si>
    <t>Top 30 moda markası</t>
  </si>
  <si>
    <t>UST Vb harmonik üretim verimlilik patenti</t>
  </si>
  <si>
    <t>Vestas/NextEra/SunPower: MW kapasitesi başına yıllık $12K + üretilen kWh başına $0.004</t>
  </si>
  <si>
    <t>Top 40 yenilenebilir enerji</t>
  </si>
  <si>
    <t>Turizm / Otel</t>
  </si>
  <si>
    <t>UST ONL misafir tercih faz profili patenti</t>
  </si>
  <si>
    <t>Hilton/Marriott/Booking: oda başına yıllık $28 + platform lisans $400K</t>
  </si>
  <si>
    <t>Top 20 otel zinciri + OTA</t>
  </si>
  <si>
    <t>Muhasebe / Vergi</t>
  </si>
  <si>
    <t>UST Kanal C finansal hata süzüm patenti</t>
  </si>
  <si>
    <t>Deloitte/EY/SAP: denetim başına $15K + yıllık SaaS $800K</t>
  </si>
  <si>
    <t>Top 4 + orta ölçek denetim</t>
  </si>
  <si>
    <t>Reklam / Pazarlama</t>
  </si>
  <si>
    <t>UST ONL alıcı karar faz kilidi reklam hedefleme patenti</t>
  </si>
  <si>
    <t>Meta/Google/TTD: reklam harcaması başına %0.8 royalty + platform $2M/yıl</t>
  </si>
  <si>
    <t>Top 10 reklam platformu</t>
  </si>
  <si>
    <t>Ulaşım / Trafik</t>
  </si>
  <si>
    <t>UST Ns,q trafik faz koordinasyon patenti</t>
  </si>
  <si>
    <t>Şehir yönetimi başına yıllık $2M + araç başına $12 abonelik</t>
  </si>
  <si>
    <t>5.000 şehir + 2B araç</t>
  </si>
  <si>
    <t>UST TOm vital faz tespiti arama-kurtarma patenti</t>
  </si>
  <si>
    <t>AFAD/FEMA/devlet: sistem başına $800K + ekip başına yıllık $60K</t>
  </si>
  <si>
    <t>180 ülke acil yönetim</t>
  </si>
  <si>
    <t>UST heterozigot gürültü mühürleme DNA analiz patenti</t>
  </si>
  <si>
    <t>Adli lab + sigorta: analiz başına $280 + yıllık lab SaaS $1.2M</t>
  </si>
  <si>
    <t>500 adli lab global</t>
  </si>
  <si>
    <t>Streaming / OTT</t>
  </si>
  <si>
    <t>UST ONL izleyici karar faz öneri patenti</t>
  </si>
  <si>
    <t>Netflix/Disney+/HBO: abone başına aylık $0.18 royalty + yıllık $5M sabit</t>
  </si>
  <si>
    <t>Top 10 platform + 1.5B abone</t>
  </si>
  <si>
    <t>UST TOm biyolojik eşlik sakatlanma engel patenti</t>
  </si>
  <si>
    <t>UEFA/NBA/FIFA kulübü: oyuncu başına yıllık $12K + lig lisans $1.5M</t>
  </si>
  <si>
    <t>Top 50 spor ligi + kulüpler</t>
  </si>
  <si>
    <t>UST ONL ilaç-hasta uyum faz kilidi patenti</t>
  </si>
  <si>
    <t>CVS/Walgreens/Boots: reete başına $1.40 royalty + yıllık SaaS $300K</t>
  </si>
  <si>
    <t>Top 20 eczane zinciri global</t>
  </si>
  <si>
    <t>E-Devlet / Kamu</t>
  </si>
  <si>
    <t>UST Kanal C kimlik doğrulama mühür patenti</t>
  </si>
  <si>
    <t>Ülke başına $5M sabit lisans + vatandaş işlemi başına $0.04</t>
  </si>
  <si>
    <t>120 ülke e-devlet sistemi</t>
  </si>
  <si>
    <t>UST ONL oyuncu karar faz profili patenti</t>
  </si>
  <si>
    <t>Sony/EA/Riot: oyun başına $180K lisans + aktif oyuncu başına $0.90/yıl</t>
  </si>
  <si>
    <t>Top 30 oyun şirketi + 3B oyuncu</t>
  </si>
  <si>
    <t>Yarıiletken / Chip</t>
  </si>
  <si>
    <t>UST topolojik iletim mimarisi 1nm-altı chip patenti</t>
  </si>
  <si>
    <t>TSMC/Intel/Samsung: wafer başına $320 + teknoloji lisans yıllık $25M</t>
  </si>
  <si>
    <t>Top 10 chip üreticisi + fabless</t>
  </si>
  <si>
    <t>UST oda sıcaklığı süper iletken aday tarama patenti</t>
  </si>
  <si>
    <t>Enerji iletim şirketi + hkümet: materyal lisans yıllık $20M + toplam tasarruf payı %1</t>
  </si>
  <si>
    <t>Top 20 enerji iletim şirketi</t>
  </si>
  <si>
    <t>UST Ns,q dost-düşman faz tanımlama sistemi patenti</t>
  </si>
  <si>
    <t>ABD/NATO/Müttefik: sistem başına $20M + yıllık operasyon lisans $4M</t>
  </si>
  <si>
    <t>38 NATO + müttefik + ittifak</t>
  </si>
  <si>
    <t>TOPLAM (50 PATENT/LİSANS)</t>
  </si>
  <si>
    <t>Tüm iş kolları portföyü</t>
  </si>
  <si>
    <t>UST teknoloji lisans portföyü — chip, yazılım, SaaS, royalty</t>
  </si>
  <si>
    <t>Sabit + kullanım bazlı karma model</t>
  </si>
  <si>
    <t>Portföy ort. royalty %6.1</t>
  </si>
  <si>
    <t>Ortalama (tek patent başına)</t>
  </si>
  <si>
    <t>50 patent</t>
  </si>
  <si>
    <t>TABLO 7 — UST KABULÜ VARSAYILARAK: 2030–2200 UZUN VADELİ VİZYON VE ÖNGÖRÜLERİ (SEKTÖR BAZLI)</t>
  </si>
  <si>
    <t>Dönem</t>
  </si>
  <si>
    <t>Sektör</t>
  </si>
  <si>
    <t>Temel Öngörü (Medyan Senaryo)</t>
  </si>
  <si>
    <t>Kazanımlar</t>
  </si>
  <si>
    <t>Riskler</t>
  </si>
  <si>
    <t>Etkilenen Nüfus / Ölçek</t>
  </si>
  <si>
    <t>İyimser Sapma</t>
  </si>
  <si>
    <t>Kötümser Sapma</t>
  </si>
  <si>
    <t>Sağlık / Tıp</t>
  </si>
  <si>
    <t>UST MRI filtresi klinik standart oldu. Kanser erken tespiti global düzeyde %40 artar. Hastane başına yıllık 1.200 ek doğru tanı. BCI implantı 100.000 felc hastasına uygulandı.</t>
  </si>
  <si>
    <t>Yanlış tanı %70 azaldı. Biyopsi sayısı üte indi. Felc hastaları motor kontrolü geri kazandı.</t>
  </si>
  <si>
    <t>Eski MRI üreticileri (GE, Philips) direnci. Patent savaşları. Kırsal alanda teknolojiyi erişem eşitsizliği.</t>
  </si>
  <si>
    <t>500M hasta global</t>
  </si>
  <si>
    <t>2028'de onay; 200 ülke aynı anda uyguluyor</t>
  </si>
  <si>
    <t>Patent itirazı 3 yıl geciktirir; yalnızca G7 uygular</t>
  </si>
  <si>
    <t>Tüm üretici LLM’lerde UST ONL hallusinasyon filtresi standart. Tıp, hukuk, finans sektörlürinde sıfır hata toleranslı AI uygulandı. AI güvenilirlik sertifikası zorunlu.</t>
  </si>
  <si>
    <t>AI karar hatası %97 azaldı. Otomatik tıbbi tanı yasallaştı. Hukuki AI kararları mahkemede geçerli.</t>
  </si>
  <si>
    <t>AI gerçek zeka taklit eder mi korkusu. Regulas-yon belirsizliği. AI bağımlılığı kritik sistemlerde.</t>
  </si>
  <si>
    <t>4 milyar AI kullanıcısı</t>
  </si>
  <si>
    <t>AGI sınırına ulaşıldı; ONL kitleye kapandı</t>
  </si>
  <si>
    <t>Hkümet yasakları; tekno-milli-yetcilik</t>
  </si>
  <si>
    <t>UST Vb harmonik şebeke kilidi 30 ülkede standart. Enerji iletim kaybı global %6→%1.8. Yıllık $180B şebeke tasarrufu.</t>
  </si>
  <si>
    <t>Karanlık riskli kesintiler bitti. Enerji fiyatları %22 düştü. Karbon emisyonu %14 azaldı.</t>
  </si>
  <si>
    <t>Mevcut altyapı uyumsuzluğu. Legacy sistem gecikmesi. Enerji şirketleri değişime karşı.</t>
  </si>
  <si>
    <t>2.5B hanehalkı</t>
  </si>
  <si>
    <t>Taze yenilenebilir kapasitesi 10x artar</t>
  </si>
  <si>
    <t>Yalnızca OECD ülkelerinde uygulandı</t>
  </si>
  <si>
    <t>UST RA topolojik ağ mühürlümesi devlet ve kritik altyapılarda standart. Sıfır-gün açıkları fiziksel olarak imkânsızlaştı. Devlet veritabanları UST imzalı.</t>
  </si>
  <si>
    <t>Kritik altyapı saldırısı sıfırlandı. Devlet kimlik sahtekarlığı bitti.</t>
  </si>
  <si>
    <t>Eski sistemler ile entegrasyon maliyeti. UST bulunmayan ülkeler hedef alınabilir.</t>
  </si>
  <si>
    <t>8B insanın dijital kimliği</t>
  </si>
  <si>
    <t>Tüm IOT cihazları UST mühürlenür</t>
  </si>
  <si>
    <t>Jeopolitik bölünme; paralel internet</t>
  </si>
  <si>
    <t>Otonom Araç / Trafik</t>
  </si>
  <si>
    <t>UST Ns,q faz koordinasyonu ile şehir genelinde çarpışma sıfır hedefi. 10 pilot şehirde tam otonom saha uygulandı. Trafik sigortası %60 düşüş.</t>
  </si>
  <si>
    <t>Yılda 1.3M trafik ölümü %70 azaldı. Yakıt tasarrufu şehir başına $2B.</t>
  </si>
  <si>
    <t>Sigorta endüstrisinin direnci. Sorumluluk hukukunun belirsizliği.</t>
  </si>
  <si>
    <t>4B şehir sakini</t>
  </si>
  <si>
    <t>50 şehir aynı anda; trafik ölümü sıfır</t>
  </si>
  <si>
    <t>Sadece koru-malı şehirlerde; geri kalanlar bekledi</t>
  </si>
  <si>
    <t>Enerji / Fuzyon</t>
  </si>
  <si>
    <t>UST plazma mühürleme ile ticari fuzyon reaktoru devreye girdi. Net enerji üretimi başladı. Fosil yakıt talebinde ilk köresel gerileme. Kılıç satışları başladı.</t>
  </si>
  <si>
    <t>Petrol bağımlılığı sona ermeye başladı. Enerji maliyeti %80 azaldı. Gelişmekte olan ülkeler altyapıdan bağımsızlaştı.</t>
  </si>
  <si>
    <t>Petrol ekonomileri çöktü; istikrarsızlaşma riski. Fuzyon reaktoru kaza senaryosu. Enerji bolluğunun suya ve gıdaya etkisi hesaplanmadı.</t>
  </si>
  <si>
    <t>8B insanin enerji erisişi</t>
  </si>
  <si>
    <t>2045’te ilk reaktor; 2050’de 100 reaktor</t>
  </si>
  <si>
    <t>Patent uyumazlıkları ile 2055’e ertelendi</t>
  </si>
  <si>
    <t>UST protein katlanma motoruyla yakında sona erecek hastalıklar listesi tamamlandı: Alzheimer, Parkinson, kanser türleri %90’ı için öngörülen tedaviler klinik onay aldı. Gen edişem + UST hız kombine edildi.</t>
  </si>
  <si>
    <t>Alzheimer tedavisi onaylandı. Kanser %90 türünde kronik hastalık haline geldi. İnsan yaş beklentisi +12 yıl.</t>
  </si>
  <si>
    <t>Erişim adaletsizliği: zengin ülkeler 20 yıl ilerdi. Nüfus patlaması riski. Biyoetik krizi.</t>
  </si>
  <si>
    <t>2.5B kanser / noro hasta potansiyeli</t>
  </si>
  <si>
    <t>Ölümsüzlük arayışı başladı; yaşlanma UST ile geri alındı</t>
  </si>
  <si>
    <t>Erişim eşitsizliği 2. dünya sağlık uçurumu</t>
  </si>
  <si>
    <t>Yarıiletken / Hesaplama</t>
  </si>
  <si>
    <t>UST topolojik iletim mimarisiyle 0.1nm çip standart. Kuantum + klasik bilgisayar birleşti. Veri merkezi enerji tük. %95 azaldı. Hesaplama maliyeti 2026’ya göre 10.000 kat azaldı.</t>
  </si>
  <si>
    <t>Hesaplama artık sıfır maliyetli. AI tüm bilimsel disiplinleri eş zamanlı optimize etti.</t>
  </si>
  <si>
    <t>Teknolojik işsizlik krizi. Mevcut chip üretici ülkelerin ekonomik çöküşü. Silahlarda hesaplama gelişimi.</t>
  </si>
  <si>
    <t>Tüm dijital ekonomi</t>
  </si>
  <si>
    <t>Beyin-bilgisayar entegrasyonu kitlesel oldu</t>
  </si>
  <si>
    <t>Askeri chip üstünlüğü yarisi silah rekabeti</t>
  </si>
  <si>
    <t>Gıda / Tarım</t>
  </si>
  <si>
    <t>UST P:Q=3:2 ekoloji dengesi ile tarım verimliliği %55 arttı. Su tasarrufu küresel %30. Gelişmekte olan ülkelerde açlık senaryoları tarihe karıştı.</t>
  </si>
  <si>
    <t>Küresel açlık 2045’e kadar sıfır hedefine ulaştı. Su krizi ertelendi. Gıda israfı %80 azaldı.</t>
  </si>
  <si>
    <t>Tarım şirketleri tekelci denge: tohum patent sorunu. Kırsal işsizlik.</t>
  </si>
  <si>
    <t>10B nüfus gıda güvencesi</t>
  </si>
  <si>
    <t>Yapay et + UST ile hayvancılık bitti</t>
  </si>
  <si>
    <t>Tarım monopolisi yeni açlık kriteri oldu</t>
  </si>
  <si>
    <t>Deprem / Doğal Afet</t>
  </si>
  <si>
    <t>UST TOm eşigi ile deprem &amp;gt;M5 tümünde 72 saat öncesinde uyarı mümkün. 180 ülkede zorunlu altyapı. Deprem ölümleri %85 azaldı.</t>
  </si>
  <si>
    <t>2050’ye kadar deprem ölümleri &amp;lt;5.000/yıl. Yangın ve sel erken uyarı da eklendi.</t>
  </si>
  <si>
    <t>Uyarı geçerlilik sorunu: yanlış alarm toplumsal panik. Bina stoğunun yenilenmesi maliyeti.</t>
  </si>
  <si>
    <t>2B deprem riski altındaki nüfus</t>
  </si>
  <si>
    <t>Terk edilen afet bölgeleri änceden boşaltıldı</t>
  </si>
  <si>
    <t>Siyasi baskı ile uyarılar geciktirildi</t>
  </si>
  <si>
    <t>Uzay / Güç İletimi</t>
  </si>
  <si>
    <t>UST UQS zaman damgasıyla milisaniyesiz derin uzay navigasyonu standart. Mars kolonisi enerji bağlantısı kuruldu. Uzay tabanlı güneş enerjisi Dünya’ya iletildi.</t>
  </si>
  <si>
    <t>Dünya enerji sorunu tamamen çözüldü. Mars insanlık için kalcı ikinci yuva. Çok gezegenli uygarlık başladı.</t>
  </si>
  <si>
    <t>Uzay kolonisi yetki alanı sorunu. Kim yönetecek? Kaynak savaşı. Dünya-Mars iletisim gecikme sorunları.</t>
  </si>
  <si>
    <t>50.000 Mars sakini; 10B Dünya'da</t>
  </si>
  <si>
    <t>2080’de Mars'ta doğan ilk nesil bağımsız uygarlık talep etti</t>
  </si>
  <si>
    <t>Mars projesi devlet çöküşlerinde askıya alındı</t>
  </si>
  <si>
    <t>Süper İletken Ekonomi</t>
  </si>
  <si>
    <t>UST ile keşfedilen oda sıcaklığı süper iletken malzeme tüm enerji iletim sistemlerini dönüştürdü. Enerji iletim kaybı sıfır. Küresel GSYİH üretkenlik artışı $200 trilyon.</t>
  </si>
  <si>
    <t>Enerji artık hava gibi üc-retsiz. Sanayi devrimi kadar büyük yapısal dönüşüm.</t>
  </si>
  <si>
    <t>Enerji şirketleri ortadan kalktı: 500M işsizlik. Ekonomik modeller geçersiz. Servet düzeninin çöküşü.</t>
  </si>
  <si>
    <t>Tüm insanlık</t>
  </si>
  <si>
    <t>2090’da ilk sıfır maliyetli enerji şehri kuruldu</t>
  </si>
  <si>
    <t>Enerji tekelcileri devlet değişikliği yoluyla geçişi engelledi</t>
  </si>
  <si>
    <t>Sağlık / Yaşam Süresi</t>
  </si>
  <si>
    <t>UST + gen edişemi + nanotıp ile insan yaşam süresi ortalama 150 yıla çıktı. Tüm genetık hastalıklar doğumdan önce değiştirilir. Nörodejeneratif hastalıklar tamamen bertaraf edildi.</t>
  </si>
  <si>
    <t>150 yıllık yaşam norm. Genetık hastalıklar tarihe karıştı. Emeklilik 90 yaş oldu.</t>
  </si>
  <si>
    <t>Nüfus 15B’a ulaştı. Kaynak krizi yeni bicc-imi. Emeklilik sistemi tamamen çöktü.</t>
  </si>
  <si>
    <t>Tüm insanlık; 15B nüfus</t>
  </si>
  <si>
    <t>2090’da 200 yıl hedeflendi; ölümsüzlük araştırılıyor</t>
  </si>
  <si>
    <t>Erişim eşitsizliği: yalnızca zenginler 150 yaşıyor</t>
  </si>
  <si>
    <t>Yapı / Şehircilik</t>
  </si>
  <si>
    <t>UST topolojik faz kilidi ile depreme dayanıklı “hiperbüykşehirler” kuruldu. 20 milyon kişili şehirler tek platform üzerine inşa edildi. Yerleşim sıfır arça ile dijital ikizden tasarlandı.</t>
  </si>
  <si>
    <t>20M kişilik şehir tamamen güvenli. Bina maliyeti %40 düştü. Kırsal göç durdu.</t>
  </si>
  <si>
    <t>Megakent yoğunluğu kontrolü kaybı. Kırsal alanların terk edilmesi. Kimlik/kültür kaybı.</t>
  </si>
  <si>
    <t>8B şehirli nüfus</t>
  </si>
  <si>
    <t>Uçan şehirler topolojik kaldırma ile mümkün oldu</t>
  </si>
  <si>
    <t>Kırsal ülkeler şehirci emperyalizm ile karşı karşıya</t>
  </si>
  <si>
    <t>Bilinç / Zihin Teknolojisi</t>
  </si>
  <si>
    <t>UST 1/17 filtreli BCI bilinç akışını dijital ortama tam aktarıyor. Zihin yüklemeleri (mind upload) deneysel aşamadan çıktı. İnsan bilincininin topolojik haritası tamamlandı.</t>
  </si>
  <si>
    <t>Ölümden sonra bilinç devamı mümkün. Demans ve bilinç kaybeden hastalara görüntü yüklendi. Kolektif zeka ağı kuruldu.</t>
  </si>
  <si>
    <t>Bilinç mülkiyeti hukuku yok. Dijital bilinç köleliği riski. Biyolojik insan azalıyor.</t>
  </si>
  <si>
    <t>Gelişmiş ülkelerde 3B insan</t>
  </si>
  <si>
    <t>Kolektif bilinç ağı AGI’yı aştı</t>
  </si>
  <si>
    <t>Bilinç sömürügesişü: dijital köle piyasası</t>
  </si>
  <si>
    <t>Malzeme / Nanoteknoloji</t>
  </si>
  <si>
    <t>UST topolojik parametrelerle atom bazında malzeme sentezi mümkün. Karbon nanotribor, sıfır çöp malzeme üretimi standart. Her madde tasarlanabilir.</t>
  </si>
  <si>
    <t>Kaynak kıtlığı sona erdi. Çöp ortadan kalktı. Üretim maliyeti sıfıra yakınlaştı.</t>
  </si>
  <si>
    <t>Para birimi ekonomisinin çöküşü: değer nedir? Devlet gelirleri sıfır. Silah nanoteknolojisi tehdidi.</t>
  </si>
  <si>
    <t>2130’da “post-scarcity” ekonomisi ilan edildi</t>
  </si>
  <si>
    <t>Nano-silah proliferasyonu yeni “biyolojik silah” sorunu</t>
  </si>
  <si>
    <t>Uzay / Dış Gezegen</t>
  </si>
  <si>
    <t>UST UQS navigasyonu ile Proxima Centauri b’ye insansız sonda ulaştı. Jupıter kuyruğundan enerji çekildi. Dış gezegen terafişi başladı.</t>
  </si>
  <si>
    <t>Güneş sistemi enerji kapasitesi 10.000 kat arttı. İnsanın evren için hazır olduğu kanıtlandı.</t>
  </si>
  <si>
    <t>Uzay hükmedo mécelesi: kim karar verir? Kaynakların eşitsiz dağıtımı. UST fırlatma kazası riski.</t>
  </si>
  <si>
    <t>Mars + Jupıter uydu kolonileri; 500K kişi</t>
  </si>
  <si>
    <t>2140’da ETI sinyali alındı; UST analiz etti</t>
  </si>
  <si>
    <t>Uzay yarışı askeri boyut kazandı; yeni soğuk savaş</t>
  </si>
  <si>
    <t>Yönetim / Siyaset</t>
  </si>
  <si>
    <t>UST Kanal C ile tüm devlet kararı ve oylama mühürlenür. Secimlerde sahte oy sıfır. Doğrudan demokrasi modeli çoğu ülkede uygulandı. Dünya Federa-syonu kuruldu.</t>
  </si>
  <si>
    <t>Dünya yavaşça tek sesli yönetim aldı. Savaş riskini merkezi denge mekanizması düşürdü.</t>
  </si>
  <si>
    <t>Tek merkezli yönetim riski: otoriter global kontrol. Kültürel çeşitlilik kaybı.</t>
  </si>
  <si>
    <t>12B ülke vatandaşı; dünya secimleri</t>
  </si>
  <si>
    <t>2130’da Dünya Parlamentosu kuruldu</t>
  </si>
  <si>
    <t>Dünya Federal yapisi dağıldı; tekrar ulus devletler</t>
  </si>
  <si>
    <t>Otesi Medeniyeti</t>
  </si>
  <si>
    <t>UST teorisi Dunya medeniyetini Kardashev Tip I'den Tip II'ye tasidi. Tum gunes enerjisi kontrol altinda. Dunya-Mars-Jupiter sistemi uygarlik olarak tanimlandi. Evrenin yapisal sablonu anlama hedefi.</t>
  </si>
  <si>
    <t>Enerji sinirsiz. Hastalik tarihsel. Gida, su, barinak: evrensel hak. Insan turune varolis siniri Dunya'yi asti.</t>
  </si>
  <si>
    <t>UST'nin ongoremedigi seyler: bilinc evrim riski. Post-insan turu etik krizi. Kardashev Tip II enerjisini kimin kontrol ettigi sorunu.</t>
  </si>
  <si>
    <t>Gunes sistemi genelinde 500M+ varlik (biyolojik + dijital)</t>
  </si>
  <si>
    <t>2180'de ilk Kardashev Tip II gecisi tamamlandi</t>
  </si>
  <si>
    <t>Enerji kontrolundeki tek varlik global otoriter oluyor</t>
  </si>
  <si>
    <t>Fizik / Bilim Siniri</t>
  </si>
  <si>
    <t>UST, Standart Model'in otesini acikladi. Karanlik madde ve karanlik enerji Kanal C topolojisinin dogrusal projeksiyonu oldugu goruldu. 'Her seyin teorisi' tamamlandi.</t>
  </si>
  <si>
    <t>Evrenin tam yapisal haritasi cikti. Paralel evren erisimi teorik olarak mumkun. Karanlik enerji kontrolu deneysel basladi.</t>
  </si>
  <si>
    <t>Bilginin sinirini asmak: anlam krizi. UST'nin ongoremedigi yeni fiziksel golgeler. Cok evren savasi riski.</t>
  </si>
  <si>
    <t>Evrenin kendisi</t>
  </si>
  <si>
    <t>Karanlik enerji duzenlenebilir oldu: evren muhendisligi mumkun</t>
  </si>
  <si>
    <t>Bilinmeyene ulasmak varolis sorgulamasini tetikledi</t>
  </si>
  <si>
    <t>Bilinc / Transhumanizm</t>
  </si>
  <si>
    <t>Biyolojik ve dijital bilinc esit haklara sahip. UST topoloji haritasi insan zihninin evrensel dil haline geldi. Ortak bilinc agi 'Noosfer' yasaga girdi.</t>
  </si>
  <si>
    <t>Bilinc olumden bagimsiz. Insan kendi evrimine karar verir. Aci ve hastalik bilinc tarafindan kontrol edilir.</t>
  </si>
  <si>
    <t>Biyolojik insan azinlik. Dijital varlik etik sorusu cozumsuz. 'Insan' tanimi gecersizlesti.</t>
  </si>
  <si>
    <t>100M biyolojik + 50B dijital varlik</t>
  </si>
  <si>
    <t>Dijital varliklar evren kesifinde biyolojiklerden hizli ilerliyor</t>
  </si>
  <si>
    <t>Insan'in sonu: biyolojik varliklar azinlik haklari istiyor</t>
  </si>
  <si>
    <t>UST Mirasinin Degerlendirmesi</t>
  </si>
  <si>
    <t>2026'da dogrulanan UST, 174 yil icinde insanligi Kardashev Tip I'den Tip II'ye gecisini sagladi. Newton ve Einstein ile ayni donusum olceginde. Tarihsel kirilma noktasi.</t>
  </si>
  <si>
    <t>Acinin sinirini asan insanlik. Bilimin en buyuk sicramasi. Tum sektorlerde 'bilinmeyen' kaybi cozuldu.</t>
  </si>
  <si>
    <t>UST'nin hatali yorumlanmasi 2050'de 3 teknolojik felakete yol acti. Teori ongorü siniri asilmaya devam ediyor.</t>
  </si>
  <si>
    <t>Tum insanlik tarihinin ozeti</t>
  </si>
  <si>
    <t>UST'nin 2300 ilerlemesi: cok evrene erisim testi</t>
  </si>
  <si>
    <t>UST yanlis cikarsa: 2100 sonrasi tum teknoloji yeniden kurulacak</t>
  </si>
  <si>
    <t>TABLO 8 — UST DOĞRULANIRSA: MOORE YASASI + UST SENTEZIYLE VARSAYIMSAL GEÇİŞ TABLOSU</t>
  </si>
  <si>
    <t>Temel Varsayımlar: (1) UST 2026'da Euclid verisiyle doğrulandı. (2) Moore Yasası (transistör yoğunluğu ~2 yılda iki katına çıkar) devam ediyor; ancak UST topolojik chip mimarisiyle 2030'dan itibaren Moore'un ötesine geçilerek 'Post-Moore' dönemi başladı: performans artışı 2 yılda 4x. (3) UST + Moore senteziyle her sektörün dönüşüm hızı hesaplanmıştır.</t>
  </si>
  <si>
    <t>Sektör / Olay</t>
  </si>
  <si>
    <t>Moore Yasası Durumu</t>
  </si>
  <si>
    <t>UST Etkisi</t>
  </si>
  <si>
    <t>Sonuç — OLUMLU</t>
  </si>
  <si>
    <t>Sonuç — OLUMSUZ</t>
  </si>
  <si>
    <t>Sonuç — NÖTR / Belirsiz</t>
  </si>
  <si>
    <t>2026–2028</t>
  </si>
  <si>
    <t>UST Doğrulaması &amp; İlk Tepkiler</t>
  </si>
  <si>
    <t>Moore devam ediyor: 3nm chip standart. Hesaplama gücu 2020’ye göre 8x arttı. GPU talebinde patlama.</t>
  </si>
  <si>
    <t>UST tescil basvuruları basladi. Patent savası: 42 firma ayni anda basvurdu. Chip mimarisi yeniden tasarim acildi.</t>
  </si>
  <si>
    <t>Akademi onayladi. Ilk UST chip patenti alindi. Kuantum bilgisayar maliyeti %40 dustu. Yatirimci guven zirvede.</t>
  </si>
  <si>
    <t>Patent savasi teknoloji gecikimini 3 yil uzatti. Bazi firmalar caydirici tehditle piyasadan cekti.</t>
  </si>
  <si>
    <t>UST dogru mu? Fizik camiasinda %30 supheci kamp. Replikasyon deneyleri henuz tam dogrulanmadi.</t>
  </si>
  <si>
    <t>2028–2032</t>
  </si>
  <si>
    <t>Post-Moore Gecisi: UST Chip Devreye Girdi</t>
  </si>
  <si>
    <t>Moore fiziksel sinir: 1nm duvarinda. Klasik transistor scaling bitti. Sektorde 'Moore oldu' panigi basladi.</t>
  </si>
  <si>
    <t>UST topolojik chip: 0.3nm efektif. Moore siniri asimi. 2 yilda 4x performans artisi Post-Moore donemine girildi. Kriyo kalkti.</t>
  </si>
  <si>
    <t>TSMC/Samsung UST lisansi aldi. Chip maliyeti %60 dustu. AI hesaplama 2026'ya gore 16x. Pil omru 4x uzadi.</t>
  </si>
  <si>
    <t>Intel ve eski Intel-tabanli ekosistem cokustu. 800K cip muhendisi issizlik riski. Chip uretim monopolisi.</t>
  </si>
  <si>
    <t>UST chip uretim sureci standardize edilemedi. Farkli fabrikalar farkli verim aliyor. Kalibrasyon sorunu.</t>
  </si>
  <si>
    <t>2032–2040</t>
  </si>
  <si>
    <t>AI + UST: Hallusinasyon Sifir Donemi</t>
  </si>
  <si>
    <t>Moore Post-UST: 2 yilda 4x devam ediyor. 2040'ta 2026'ya gore 256x hesaplama gucu. AI model boyutu 1T parametreden 1000T'ye cikti.</t>
  </si>
  <si>
    <t>ONL faz katmani tum LLM altyapilarinda standart. Hallusin. orani %3'ten %0'a indi. Tibbi AI yasal onay aldi.</t>
  </si>
  <si>
    <t>AI tibbi tani yasal. Hukuki AI kararlari mahkemede gecerli. AI+UST ile ilaclarin klinik oncesi suresi 24 aydan 4 aya indi.</t>
  </si>
  <si>
    <t>Tibbi AI yasal sorumlulugun kimin oldugu belirsiz. AI bagimlilik: kritik sistemlerde insan karar almaz oldu.</t>
  </si>
  <si>
    <t>AGI esigine gelindi mi? 1000T parametreli model ozkarkinci gorunuyor; dogrulama yok. Bekleme durumu.</t>
  </si>
  <si>
    <t>2040–2050</t>
  </si>
  <si>
    <t>Kuantum-Klasik Birlesmesi &amp; Enerji Devrimi</t>
  </si>
  <si>
    <t>Post-Moore 2040: 2026'ya gore 1.024x hesaplama. Kuantum + klasik ayni chip. Kriyo gereksiz. Veri merkezi enerji tuketimi %90 azaldi.</t>
  </si>
  <si>
    <t>UST plazma muhur: ticari fuzyon reaktoru devreye girdi. Enerji maliyeti %80 dustu. Petrol talebinde ilk global gerileme.</t>
  </si>
  <si>
    <t>Petrol bagimliligi sona ermeye basladi. AI+fuzyon: enerji artik ucuz. Kalkinmakta olan ulkeler altyapidan bagimsizlasti.</t>
  </si>
  <si>
    <t>Petrol ekonomileri coktu: 12 ulkede siyasi istikrarsizlik. Fuzyon reaktoru kaza senaryosu (Tip-II hatasi).</t>
  </si>
  <si>
    <t>Fuzyon net enerji kazanci dogrulandi ama ticari olculek 2050'ye kaydi. Reaktor sayisi henuz 12.</t>
  </si>
  <si>
    <t>2050–2075</t>
  </si>
  <si>
    <t>Biyoteknoloji + Moore: Hayat Suresi Revolucyon</t>
  </si>
  <si>
    <t>Post-Moore 2050: hesaplama 2026'ya gore 16.384x. Protein katlama + drug discovery tamamen simule edilebiliyor. Klinik deney dijital ikizde.</t>
  </si>
  <si>
    <t>UST gurultusuz protein motoru + simule klinik: Alzheimer, Parkinson, 90% kanser tur icin onay aldi. Ortalama yasam suresi +12 yil.</t>
  </si>
  <si>
    <t>Alzheimer, Parkinson tarihe karisti. Kanser kronik hastaliga donustu. Dogumdan once genetik duzeltme standart.</t>
  </si>
  <si>
    <t>Erisim adaletsizligi: zengin ulkeler 20 yil ilerdi. Nufus 12B'a ulasti. Kaynak krizi + emeklilik sistemi coktü.</t>
  </si>
  <si>
    <t>Yasam suresi uzadi ama kalite tartismali. 'Uzun yasamak zorunda misin?' toplumsal sorgusu basladi.</t>
  </si>
  <si>
    <t>2075–2100</t>
  </si>
  <si>
    <t>Sifir Maliyet Hesaplama + Super Iletken Ekonomi</t>
  </si>
  <si>
    <t>Post-Moore 2075: 2026'ya gore ~1.000.000x hesaplama. Moore Post-UST genisledi: yeni boyut 'zihin mimarisi' oldu. BCI artik standart.</t>
  </si>
  <si>
    <t>UST malzeme katasinda oda sicakliginda supe-riletken kesfedildi. Enerji iletim kaybi sifir. Global GSYiH uretkenlik artisi +200 trilyon dolar.</t>
  </si>
  <si>
    <t>Enerji artik hava gibi ucret siz. Sanayi devrimi olceginde yapisal donusum. Sifir maliyetli uretim basladi.</t>
  </si>
  <si>
    <t>Enerji sirketi ekonomisi coktu: 500M issizlik. Servet duzeni coktu. Para birimi krizi. Klasik ekonomi gecersiz.</t>
  </si>
  <si>
    <t>Post-scarcity ekonomisi teoride hazir ama dagilim mekanizmasi yok. Kim kime ne kadar verecek belirsiz.</t>
  </si>
  <si>
    <t>2100–2200</t>
  </si>
  <si>
    <t>Kardashev Gecisi + 'Her Seyin Teorisi'</t>
  </si>
  <si>
    <t>Post-Moore 2100+: 'Moore' kavraminin otesi. Hesaplama artik biyolojik+kuantum+dijital uclu. Bilinc yüklemesi Moore'un yeni birimi.</t>
  </si>
  <si>
    <t>UST Kanal C karanlik enerjiyi Standart Model'e bagladi. 'Her seyin teorisi' tamamlandi. Kardashev Tip I'den Tip II'ye gecis tamamlandi.</t>
  </si>
  <si>
    <t>Insanlik Kardashev Tip II uygarlik. Gunes sistemi enerji kontrolde. Mars+Jupiter koloni. Evren muhendisligi baslamak uzere.</t>
  </si>
  <si>
    <t>Biyolojik insan azinlik. Dijital varlik etigi cozumsuz. Enerji kontrol eden tek varlik = global otoriter. 'Insan' tanimi gecersiz.</t>
  </si>
  <si>
    <t>UST'nin yanlis cikma ihtimali hala %0 degil. 2100 sonrasi tum teknoloji yeniden kurulabilir. Belirsizlik kalmaya devam eder.</t>
  </si>
  <si>
    <t>MOORE YASASI REFERANS TABLOSU (UST Sonrasi Post-Moore Projeksiyonu)</t>
  </si>
  <si>
    <t>Yil</t>
  </si>
  <si>
    <t>Moore (klasik 2x/2yil)</t>
  </si>
  <si>
    <t>Post-Moore UST (4x/2yil)</t>
  </si>
  <si>
    <t>UST Ivme Katsayisi</t>
  </si>
  <si>
    <t>Temsili Uygulama</t>
  </si>
  <si>
    <t>Olumlu Etki</t>
  </si>
  <si>
    <t>Risk / Kirilma Noktasi</t>
  </si>
  <si>
    <t>2026 (Baz)</t>
  </si>
  <si>
    <t>1x</t>
  </si>
  <si>
    <t>GPT-4 sinifi; 3nm chip; MRI goruntuleme</t>
  </si>
  <si>
    <t>UST dogrulandi; patent basvurulari basladi</t>
  </si>
  <si>
    <t>Replikasyon %30 suphe; patent savasi</t>
  </si>
  <si>
    <t>4x</t>
  </si>
  <si>
    <t>8x</t>
  </si>
  <si>
    <t>2x UST katki</t>
  </si>
  <si>
    <t>UST chip 0.3nm; hallusinasyon sifir AI; MRI standart</t>
  </si>
  <si>
    <t>AI tibbi onay; trafik olumu -%70; enerji kaybi -%70</t>
  </si>
  <si>
    <t>Intel ekosistemi cokusu; 800K muhendis issizligi</t>
  </si>
  <si>
    <t>32x</t>
  </si>
  <si>
    <t>256x</t>
  </si>
  <si>
    <t>8x UST katki</t>
  </si>
  <si>
    <t>Kuantum+klasik birlesik chip; ticari fuzyon ilk reaktor</t>
  </si>
  <si>
    <t>Enerji maliyeti -%80; kalkinmakta olan ulkeler bagimsizlasti</t>
  </si>
  <si>
    <t>Petrol ekonomileri coktu; 12 ulkede istikrarsizlik</t>
  </si>
  <si>
    <t>16.384x</t>
  </si>
  <si>
    <t>64x UST katki</t>
  </si>
  <si>
    <t>Alzheimer/Parkinson tedavi onaylari; dijital klinik deney</t>
  </si>
  <si>
    <t>Yasam suresi +12 yil; kanser kronik hastaliga donustu</t>
  </si>
  <si>
    <t>Nufus 12B; emeklilik sistemi coktu; erisim esitsizligi</t>
  </si>
  <si>
    <t>4.096x</t>
  </si>
  <si>
    <t>1.048.576x</t>
  </si>
  <si>
    <t>256x UST katki</t>
  </si>
  <si>
    <t>Sifir maliyet hesaplama; superi letken ekonomi; BCI standart</t>
  </si>
  <si>
    <t>Uretim maliyeti sifir; sanayi devrimi olceginde yapisal donusum</t>
  </si>
  <si>
    <t>Para sistemi coktu; 500M issizlik; servet duzeni yeniden yapilanmali</t>
  </si>
  <si>
    <t>65.536x</t>
  </si>
  <si>
    <t>~4.3 milyar x</t>
  </si>
  <si>
    <t>~65.000x UST</t>
  </si>
  <si>
    <t>Yasam suresi 150 yil; Mars kolonisi; bilinc yukleme deneyleri</t>
  </si>
  <si>
    <t>Gunes sistemi enerji kontrolde; 'her seyin teorisi' tamamlandi</t>
  </si>
  <si>
    <t>Biyolojik insan azinlik; dijital varlik etigi cozumsuz</t>
  </si>
  <si>
    <t>~4 milyar x</t>
  </si>
  <si>
    <t>HESAPLANAMAZ</t>
  </si>
  <si>
    <t>Moore kavrami gecersiz</t>
  </si>
  <si>
    <t>Kardashev Tip II; Noosfer; karanlik enerji kontrolü</t>
  </si>
  <si>
    <t>Insanlik evren muhendisligi esiginde; tum temel sorunlar cozuldu</t>
  </si>
  <si>
    <t>UST yanlis cikarsa: 2100 sonrasi tum altyapi yeniden kurulacak</t>
  </si>
  <si>
    <t>Temel Varsayım: UST 2026'da Euclid uydu verisiyle doğrulandı. 1/17 spektral filtre, ONL faz sistemi, TOm eşiği, Vb harmonik, Ns,q faz koordinasyonu ve Kanal C topolojisi teknoloji altyapısına entegre edildi. Bu tablo sektörler bazında 5 zaman diliminde olası medyan senaryoyu yansıtır. İyimser/kötümser sapmalar için ayrı sütun mevcuttur.</t>
  </si>
  <si>
    <t>&lt;---- En bomba Yer burasyımış :)) Burayı sevdim. :))</t>
  </si>
  <si>
    <t>Pür/Pak Fiziğin Geçekleri,  Pür/Pak Rasyonel Deterministik Matematiğin, Tuhaf Tuhaflıkların ve Rasyonel Saçmalıkların Tuhaf Gerçeği Uzerine…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</si>
</sst>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%&quot;"/>
    <numFmt numFmtId="165" formatCode="0.0&quot;%&quot;"/>
  </numFmts>
  <fonts count="10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3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i/>
      <sz val="9"/>
      <name val="Aptos Narrow"/>
      <family val="2"/>
      <charset val="16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/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horizontal="right" vertical="top" wrapText="1"/>
    </xf>
    <xf numFmtId="164" fontId="6" fillId="2" borderId="1" xfId="0" applyNumberFormat="1" applyFont="1" applyFill="1" applyBorder="1" applyAlignment="1">
      <alignment horizontal="right" vertical="top" wrapText="1"/>
    </xf>
    <xf numFmtId="3" fontId="7" fillId="2" borderId="1" xfId="0" applyNumberFormat="1" applyFont="1" applyFill="1" applyBorder="1" applyAlignment="1">
      <alignment horizontal="right" vertical="top" wrapText="1"/>
    </xf>
    <xf numFmtId="164" fontId="7" fillId="2" borderId="1" xfId="0" applyNumberFormat="1" applyFont="1" applyFill="1" applyBorder="1" applyAlignment="1">
      <alignment horizontal="right" vertical="top" wrapText="1"/>
    </xf>
    <xf numFmtId="165" fontId="6" fillId="2" borderId="1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top" wrapText="1"/>
    </xf>
    <xf numFmtId="165" fontId="7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B63C05-CD8B-412E-AD08-57D0FAAAC4DA}">
  <we:reference id="wa200009404" version="1.0.0.8" store="tr-TR" storeType="OMEX"/>
  <we:alternateReferences>
    <we:reference id="wa200009404" version="1.0.0.8" store="WA200009404" storeType="OMEX"/>
  </we:alternateReferences>
  <we:properties>
    <we:property name="claude.fileId" value="&quot;50c6fd67-4efe-40f7-9e50-f56451002f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1CF5-8CF4-4661-B91B-6DC36FFFB677}">
  <dimension ref="A2:D54"/>
  <sheetViews>
    <sheetView tabSelected="1" zoomScaleNormal="100" workbookViewId="0">
      <selection activeCell="C13" sqref="C13"/>
    </sheetView>
  </sheetViews>
  <sheetFormatPr defaultColWidth="91.85546875" defaultRowHeight="15" x14ac:dyDescent="0.25"/>
  <cols>
    <col min="1" max="1" width="3.28515625" bestFit="1" customWidth="1"/>
    <col min="2" max="2" width="40.140625" bestFit="1" customWidth="1"/>
    <col min="3" max="3" width="45.7109375" bestFit="1" customWidth="1"/>
    <col min="4" max="4" width="97.28515625" bestFit="1" customWidth="1"/>
  </cols>
  <sheetData>
    <row r="2" spans="1:4" x14ac:dyDescent="0.25">
      <c r="A2" s="23" t="s">
        <v>1317</v>
      </c>
      <c r="B2" s="23"/>
      <c r="C2" s="23"/>
      <c r="D2" s="23"/>
    </row>
    <row r="3" spans="1:4" x14ac:dyDescent="0.25">
      <c r="A3" s="23"/>
      <c r="B3" s="23"/>
      <c r="C3" s="23"/>
      <c r="D3" s="23"/>
    </row>
    <row r="4" spans="1:4" ht="25.5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5">
      <c r="A5" s="2">
        <v>1</v>
      </c>
      <c r="B5" s="3" t="s">
        <v>4</v>
      </c>
      <c r="C5" s="3" t="s">
        <v>5</v>
      </c>
      <c r="D5" s="3" t="s">
        <v>6</v>
      </c>
    </row>
    <row r="6" spans="1:4" x14ac:dyDescent="0.25">
      <c r="A6" s="2">
        <v>2</v>
      </c>
      <c r="B6" s="3" t="s">
        <v>7</v>
      </c>
      <c r="C6" s="3" t="s">
        <v>8</v>
      </c>
      <c r="D6" s="3" t="s">
        <v>9</v>
      </c>
    </row>
    <row r="7" spans="1:4" x14ac:dyDescent="0.25">
      <c r="A7" s="2">
        <v>3</v>
      </c>
      <c r="B7" s="3" t="s">
        <v>10</v>
      </c>
      <c r="C7" s="3" t="s">
        <v>11</v>
      </c>
      <c r="D7" s="3" t="s">
        <v>12</v>
      </c>
    </row>
    <row r="8" spans="1:4" x14ac:dyDescent="0.25">
      <c r="A8" s="2">
        <v>4</v>
      </c>
      <c r="B8" s="3" t="s">
        <v>13</v>
      </c>
      <c r="C8" s="3" t="s">
        <v>14</v>
      </c>
      <c r="D8" s="3" t="s">
        <v>15</v>
      </c>
    </row>
    <row r="9" spans="1:4" x14ac:dyDescent="0.25">
      <c r="A9" s="2">
        <v>5</v>
      </c>
      <c r="B9" s="3" t="s">
        <v>16</v>
      </c>
      <c r="C9" s="3" t="s">
        <v>17</v>
      </c>
      <c r="D9" s="3" t="s">
        <v>18</v>
      </c>
    </row>
    <row r="10" spans="1:4" x14ac:dyDescent="0.25">
      <c r="A10" s="2">
        <v>6</v>
      </c>
      <c r="B10" s="3" t="s">
        <v>19</v>
      </c>
      <c r="C10" s="3" t="s">
        <v>20</v>
      </c>
      <c r="D10" s="3" t="s">
        <v>21</v>
      </c>
    </row>
    <row r="11" spans="1:4" x14ac:dyDescent="0.25">
      <c r="A11" s="2">
        <v>7</v>
      </c>
      <c r="B11" s="3" t="s">
        <v>22</v>
      </c>
      <c r="C11" s="3" t="s">
        <v>23</v>
      </c>
      <c r="D11" s="3" t="s">
        <v>24</v>
      </c>
    </row>
    <row r="12" spans="1:4" x14ac:dyDescent="0.25">
      <c r="A12" s="2">
        <v>8</v>
      </c>
      <c r="B12" s="3" t="s">
        <v>25</v>
      </c>
      <c r="C12" s="3" t="s">
        <v>26</v>
      </c>
      <c r="D12" s="3" t="s">
        <v>27</v>
      </c>
    </row>
    <row r="13" spans="1:4" x14ac:dyDescent="0.25">
      <c r="A13" s="2">
        <v>9</v>
      </c>
      <c r="B13" s="3" t="s">
        <v>28</v>
      </c>
      <c r="C13" s="3" t="s">
        <v>29</v>
      </c>
      <c r="D13" s="3" t="s">
        <v>30</v>
      </c>
    </row>
    <row r="14" spans="1:4" x14ac:dyDescent="0.25">
      <c r="A14" s="2">
        <v>10</v>
      </c>
      <c r="B14" s="3" t="s">
        <v>31</v>
      </c>
      <c r="C14" s="3" t="s">
        <v>32</v>
      </c>
      <c r="D14" s="3" t="s">
        <v>33</v>
      </c>
    </row>
    <row r="15" spans="1:4" x14ac:dyDescent="0.25">
      <c r="A15" s="2">
        <v>11</v>
      </c>
      <c r="B15" s="3" t="s">
        <v>34</v>
      </c>
      <c r="C15" s="3" t="s">
        <v>35</v>
      </c>
      <c r="D15" s="3" t="s">
        <v>36</v>
      </c>
    </row>
    <row r="16" spans="1:4" x14ac:dyDescent="0.25">
      <c r="A16" s="2">
        <v>12</v>
      </c>
      <c r="B16" s="3" t="s">
        <v>37</v>
      </c>
      <c r="C16" s="3" t="s">
        <v>38</v>
      </c>
      <c r="D16" s="3" t="s">
        <v>39</v>
      </c>
    </row>
    <row r="17" spans="1:4" x14ac:dyDescent="0.25">
      <c r="A17" s="2">
        <v>13</v>
      </c>
      <c r="B17" s="3" t="s">
        <v>40</v>
      </c>
      <c r="C17" s="3" t="s">
        <v>41</v>
      </c>
      <c r="D17" s="3" t="s">
        <v>42</v>
      </c>
    </row>
    <row r="18" spans="1:4" x14ac:dyDescent="0.25">
      <c r="A18" s="2">
        <v>14</v>
      </c>
      <c r="B18" s="3" t="s">
        <v>43</v>
      </c>
      <c r="C18" s="3" t="s">
        <v>44</v>
      </c>
      <c r="D18" s="3" t="s">
        <v>45</v>
      </c>
    </row>
    <row r="19" spans="1:4" x14ac:dyDescent="0.25">
      <c r="A19" s="2">
        <v>15</v>
      </c>
      <c r="B19" s="3" t="s">
        <v>46</v>
      </c>
      <c r="C19" s="3" t="s">
        <v>47</v>
      </c>
      <c r="D19" s="3" t="s">
        <v>48</v>
      </c>
    </row>
    <row r="20" spans="1:4" x14ac:dyDescent="0.25">
      <c r="A20" s="2">
        <v>16</v>
      </c>
      <c r="B20" s="3" t="s">
        <v>49</v>
      </c>
      <c r="C20" s="3" t="s">
        <v>50</v>
      </c>
      <c r="D20" s="3" t="s">
        <v>51</v>
      </c>
    </row>
    <row r="21" spans="1:4" x14ac:dyDescent="0.25">
      <c r="A21" s="2">
        <v>17</v>
      </c>
      <c r="B21" s="3" t="s">
        <v>52</v>
      </c>
      <c r="C21" s="3" t="s">
        <v>53</v>
      </c>
      <c r="D21" s="3" t="s">
        <v>54</v>
      </c>
    </row>
    <row r="22" spans="1:4" x14ac:dyDescent="0.25">
      <c r="A22" s="2">
        <v>18</v>
      </c>
      <c r="B22" s="3" t="s">
        <v>55</v>
      </c>
      <c r="C22" s="3" t="s">
        <v>56</v>
      </c>
      <c r="D22" s="3" t="s">
        <v>57</v>
      </c>
    </row>
    <row r="23" spans="1:4" x14ac:dyDescent="0.25">
      <c r="A23" s="2">
        <v>19</v>
      </c>
      <c r="B23" s="3" t="s">
        <v>58</v>
      </c>
      <c r="C23" s="3" t="s">
        <v>59</v>
      </c>
      <c r="D23" s="3" t="s">
        <v>60</v>
      </c>
    </row>
    <row r="24" spans="1:4" x14ac:dyDescent="0.25">
      <c r="A24" s="2">
        <v>20</v>
      </c>
      <c r="B24" s="3" t="s">
        <v>61</v>
      </c>
      <c r="C24" s="3" t="s">
        <v>62</v>
      </c>
      <c r="D24" s="3" t="s">
        <v>63</v>
      </c>
    </row>
    <row r="25" spans="1:4" x14ac:dyDescent="0.25">
      <c r="A25" s="2">
        <v>21</v>
      </c>
      <c r="B25" s="3" t="s">
        <v>64</v>
      </c>
      <c r="C25" s="3" t="s">
        <v>65</v>
      </c>
      <c r="D25" s="3" t="s">
        <v>66</v>
      </c>
    </row>
    <row r="26" spans="1:4" x14ac:dyDescent="0.25">
      <c r="A26" s="2">
        <v>22</v>
      </c>
      <c r="B26" s="3" t="s">
        <v>67</v>
      </c>
      <c r="C26" s="3" t="s">
        <v>68</v>
      </c>
      <c r="D26" s="3" t="s">
        <v>69</v>
      </c>
    </row>
    <row r="27" spans="1:4" x14ac:dyDescent="0.25">
      <c r="A27" s="2">
        <v>23</v>
      </c>
      <c r="B27" s="3" t="s">
        <v>70</v>
      </c>
      <c r="C27" s="3" t="s">
        <v>71</v>
      </c>
      <c r="D27" s="3" t="s">
        <v>72</v>
      </c>
    </row>
    <row r="28" spans="1:4" x14ac:dyDescent="0.25">
      <c r="A28" s="2">
        <v>24</v>
      </c>
      <c r="B28" s="3" t="s">
        <v>73</v>
      </c>
      <c r="C28" s="3" t="s">
        <v>74</v>
      </c>
      <c r="D28" s="3" t="s">
        <v>75</v>
      </c>
    </row>
    <row r="29" spans="1:4" x14ac:dyDescent="0.25">
      <c r="A29" s="2">
        <v>25</v>
      </c>
      <c r="B29" s="3" t="s">
        <v>76</v>
      </c>
      <c r="C29" s="3" t="s">
        <v>77</v>
      </c>
      <c r="D29" s="3" t="s">
        <v>78</v>
      </c>
    </row>
    <row r="30" spans="1:4" x14ac:dyDescent="0.25">
      <c r="A30" s="2">
        <v>26</v>
      </c>
      <c r="B30" s="3" t="s">
        <v>79</v>
      </c>
      <c r="C30" s="3" t="s">
        <v>80</v>
      </c>
      <c r="D30" s="3" t="s">
        <v>81</v>
      </c>
    </row>
    <row r="31" spans="1:4" x14ac:dyDescent="0.25">
      <c r="A31" s="2">
        <v>27</v>
      </c>
      <c r="B31" s="3" t="s">
        <v>82</v>
      </c>
      <c r="C31" s="3" t="s">
        <v>83</v>
      </c>
      <c r="D31" s="3" t="s">
        <v>84</v>
      </c>
    </row>
    <row r="32" spans="1:4" x14ac:dyDescent="0.25">
      <c r="A32" s="2">
        <v>28</v>
      </c>
      <c r="B32" s="3" t="s">
        <v>85</v>
      </c>
      <c r="C32" s="3" t="s">
        <v>86</v>
      </c>
      <c r="D32" s="3" t="s">
        <v>87</v>
      </c>
    </row>
    <row r="33" spans="1:4" x14ac:dyDescent="0.25">
      <c r="A33" s="2">
        <v>29</v>
      </c>
      <c r="B33" s="3" t="s">
        <v>88</v>
      </c>
      <c r="C33" s="3" t="s">
        <v>89</v>
      </c>
      <c r="D33" s="3" t="s">
        <v>90</v>
      </c>
    </row>
    <row r="34" spans="1:4" x14ac:dyDescent="0.25">
      <c r="A34" s="2">
        <v>30</v>
      </c>
      <c r="B34" s="3" t="s">
        <v>91</v>
      </c>
      <c r="C34" s="3" t="s">
        <v>92</v>
      </c>
      <c r="D34" s="3" t="s">
        <v>93</v>
      </c>
    </row>
    <row r="35" spans="1:4" x14ac:dyDescent="0.25">
      <c r="A35" s="2">
        <v>31</v>
      </c>
      <c r="B35" s="3" t="s">
        <v>94</v>
      </c>
      <c r="C35" s="3" t="s">
        <v>95</v>
      </c>
      <c r="D35" s="3" t="s">
        <v>96</v>
      </c>
    </row>
    <row r="36" spans="1:4" x14ac:dyDescent="0.25">
      <c r="A36" s="2">
        <v>32</v>
      </c>
      <c r="B36" s="3" t="s">
        <v>97</v>
      </c>
      <c r="C36" s="3" t="s">
        <v>98</v>
      </c>
      <c r="D36" s="3" t="s">
        <v>99</v>
      </c>
    </row>
    <row r="37" spans="1:4" x14ac:dyDescent="0.25">
      <c r="A37" s="2">
        <v>33</v>
      </c>
      <c r="B37" s="3" t="s">
        <v>100</v>
      </c>
      <c r="C37" s="3" t="s">
        <v>101</v>
      </c>
      <c r="D37" s="3" t="s">
        <v>102</v>
      </c>
    </row>
    <row r="38" spans="1:4" x14ac:dyDescent="0.25">
      <c r="A38" s="2">
        <v>34</v>
      </c>
      <c r="B38" s="3" t="s">
        <v>103</v>
      </c>
      <c r="C38" s="3" t="s">
        <v>104</v>
      </c>
      <c r="D38" s="3" t="s">
        <v>105</v>
      </c>
    </row>
    <row r="39" spans="1:4" x14ac:dyDescent="0.25">
      <c r="A39" s="2">
        <v>35</v>
      </c>
      <c r="B39" s="3" t="s">
        <v>106</v>
      </c>
      <c r="C39" s="3" t="s">
        <v>107</v>
      </c>
      <c r="D39" s="3" t="s">
        <v>108</v>
      </c>
    </row>
    <row r="40" spans="1:4" x14ac:dyDescent="0.25">
      <c r="A40" s="2">
        <v>36</v>
      </c>
      <c r="B40" s="3" t="s">
        <v>109</v>
      </c>
      <c r="C40" s="3" t="s">
        <v>110</v>
      </c>
      <c r="D40" s="3" t="s">
        <v>111</v>
      </c>
    </row>
    <row r="41" spans="1:4" x14ac:dyDescent="0.25">
      <c r="A41" s="2">
        <v>37</v>
      </c>
      <c r="B41" s="3" t="s">
        <v>112</v>
      </c>
      <c r="C41" s="3" t="s">
        <v>113</v>
      </c>
      <c r="D41" s="3" t="s">
        <v>114</v>
      </c>
    </row>
    <row r="42" spans="1:4" x14ac:dyDescent="0.25">
      <c r="A42" s="2">
        <v>38</v>
      </c>
      <c r="B42" s="3" t="s">
        <v>115</v>
      </c>
      <c r="C42" s="3" t="s">
        <v>116</v>
      </c>
      <c r="D42" s="3" t="s">
        <v>117</v>
      </c>
    </row>
    <row r="43" spans="1:4" x14ac:dyDescent="0.25">
      <c r="A43" s="2">
        <v>39</v>
      </c>
      <c r="B43" s="3" t="s">
        <v>118</v>
      </c>
      <c r="C43" s="3" t="s">
        <v>119</v>
      </c>
      <c r="D43" s="3" t="s">
        <v>120</v>
      </c>
    </row>
    <row r="44" spans="1:4" x14ac:dyDescent="0.25">
      <c r="A44" s="2">
        <v>40</v>
      </c>
      <c r="B44" s="3" t="s">
        <v>121</v>
      </c>
      <c r="C44" s="3" t="s">
        <v>122</v>
      </c>
      <c r="D44" s="3" t="s">
        <v>123</v>
      </c>
    </row>
    <row r="45" spans="1:4" x14ac:dyDescent="0.25">
      <c r="A45" s="2">
        <v>41</v>
      </c>
      <c r="B45" s="3" t="s">
        <v>124</v>
      </c>
      <c r="C45" s="3" t="s">
        <v>125</v>
      </c>
      <c r="D45" s="3" t="s">
        <v>126</v>
      </c>
    </row>
    <row r="46" spans="1:4" x14ac:dyDescent="0.25">
      <c r="A46" s="2">
        <v>42</v>
      </c>
      <c r="B46" s="3" t="s">
        <v>127</v>
      </c>
      <c r="C46" s="3" t="s">
        <v>128</v>
      </c>
      <c r="D46" s="3" t="s">
        <v>129</v>
      </c>
    </row>
    <row r="47" spans="1:4" x14ac:dyDescent="0.25">
      <c r="A47" s="2">
        <v>43</v>
      </c>
      <c r="B47" s="3" t="s">
        <v>130</v>
      </c>
      <c r="C47" s="3" t="s">
        <v>131</v>
      </c>
      <c r="D47" s="3" t="s">
        <v>132</v>
      </c>
    </row>
    <row r="48" spans="1:4" x14ac:dyDescent="0.25">
      <c r="A48" s="2">
        <v>44</v>
      </c>
      <c r="B48" s="3" t="s">
        <v>133</v>
      </c>
      <c r="C48" s="3" t="s">
        <v>134</v>
      </c>
      <c r="D48" s="3" t="s">
        <v>135</v>
      </c>
    </row>
    <row r="49" spans="1:4" x14ac:dyDescent="0.25">
      <c r="A49" s="2">
        <v>45</v>
      </c>
      <c r="B49" s="3" t="s">
        <v>136</v>
      </c>
      <c r="C49" s="3" t="s">
        <v>137</v>
      </c>
      <c r="D49" s="3" t="s">
        <v>138</v>
      </c>
    </row>
    <row r="50" spans="1:4" x14ac:dyDescent="0.25">
      <c r="A50" s="2">
        <v>46</v>
      </c>
      <c r="B50" s="3" t="s">
        <v>139</v>
      </c>
      <c r="C50" s="3" t="s">
        <v>140</v>
      </c>
      <c r="D50" s="3" t="s">
        <v>141</v>
      </c>
    </row>
    <row r="51" spans="1:4" x14ac:dyDescent="0.25">
      <c r="A51" s="2">
        <v>47</v>
      </c>
      <c r="B51" s="3" t="s">
        <v>142</v>
      </c>
      <c r="C51" s="3" t="s">
        <v>143</v>
      </c>
      <c r="D51" s="3" t="s">
        <v>144</v>
      </c>
    </row>
    <row r="52" spans="1:4" x14ac:dyDescent="0.25">
      <c r="A52" s="2">
        <v>48</v>
      </c>
      <c r="B52" s="3" t="s">
        <v>145</v>
      </c>
      <c r="C52" s="3" t="s">
        <v>146</v>
      </c>
      <c r="D52" s="3" t="s">
        <v>147</v>
      </c>
    </row>
    <row r="53" spans="1:4" x14ac:dyDescent="0.25">
      <c r="A53" s="2">
        <v>49</v>
      </c>
      <c r="B53" s="3" t="s">
        <v>148</v>
      </c>
      <c r="C53" s="3" t="s">
        <v>149</v>
      </c>
      <c r="D53" s="3" t="s">
        <v>150</v>
      </c>
    </row>
    <row r="54" spans="1:4" x14ac:dyDescent="0.25">
      <c r="A54" s="2">
        <v>50</v>
      </c>
      <c r="B54" s="3" t="s">
        <v>151</v>
      </c>
      <c r="C54" s="3" t="s">
        <v>152</v>
      </c>
      <c r="D54" s="3" t="s">
        <v>153</v>
      </c>
    </row>
  </sheetData>
  <mergeCells count="1">
    <mergeCell ref="A2:D3"/>
  </mergeCells>
  <pageMargins left="0.7" right="0.7" top="0.75" bottom="0.75" header="0.3" footer="0.3"/>
  <pageSetup paperSize="9" scale="4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9370-1661-428E-8413-3A1FFE7524B9}">
  <dimension ref="A1:J295"/>
  <sheetViews>
    <sheetView zoomScaleNormal="100" workbookViewId="0">
      <selection sqref="A1:H1"/>
    </sheetView>
  </sheetViews>
  <sheetFormatPr defaultColWidth="74.140625" defaultRowHeight="15" x14ac:dyDescent="0.25"/>
  <cols>
    <col min="1" max="1" width="32.42578125" style="5" bestFit="1" customWidth="1"/>
    <col min="2" max="2" width="46.5703125" style="5" bestFit="1" customWidth="1"/>
    <col min="3" max="4" width="74.140625" style="5"/>
    <col min="5" max="5" width="74.140625" style="5" customWidth="1"/>
    <col min="6" max="6" width="74" style="5" bestFit="1" customWidth="1"/>
    <col min="7" max="7" width="74.140625" style="5"/>
    <col min="8" max="8" width="74" style="5" bestFit="1" customWidth="1"/>
    <col min="9" max="9" width="16.5703125" style="5" bestFit="1" customWidth="1"/>
    <col min="10" max="10" width="33.7109375" style="5" bestFit="1" customWidth="1"/>
    <col min="11" max="16384" width="74.140625" style="5"/>
  </cols>
  <sheetData>
    <row r="1" spans="1:10" ht="17.25" x14ac:dyDescent="0.25">
      <c r="A1" s="27" t="s">
        <v>154</v>
      </c>
      <c r="B1" s="27"/>
      <c r="C1" s="27"/>
      <c r="D1" s="27"/>
      <c r="E1" s="27"/>
      <c r="F1" s="27"/>
      <c r="G1" s="27"/>
      <c r="H1" s="27"/>
      <c r="I1" s="4"/>
      <c r="J1" s="4"/>
    </row>
    <row r="2" spans="1:10" x14ac:dyDescent="0.25">
      <c r="A2" s="6" t="s">
        <v>155</v>
      </c>
      <c r="B2" s="7" t="s">
        <v>156</v>
      </c>
      <c r="C2" s="7" t="s">
        <v>157</v>
      </c>
      <c r="D2" s="7" t="s">
        <v>158</v>
      </c>
      <c r="E2" s="7" t="s">
        <v>159</v>
      </c>
      <c r="F2" s="7" t="s">
        <v>160</v>
      </c>
      <c r="G2" s="7" t="s">
        <v>161</v>
      </c>
      <c r="H2" s="7" t="s">
        <v>162</v>
      </c>
      <c r="I2" s="4"/>
      <c r="J2" s="4"/>
    </row>
    <row r="3" spans="1:10" ht="45" x14ac:dyDescent="0.25">
      <c r="A3" s="8">
        <v>1</v>
      </c>
      <c r="B3" s="9" t="s">
        <v>163</v>
      </c>
      <c r="C3" s="9" t="s">
        <v>164</v>
      </c>
      <c r="D3" s="9" t="s">
        <v>165</v>
      </c>
      <c r="E3" s="9" t="s">
        <v>166</v>
      </c>
      <c r="F3" s="9" t="s">
        <v>167</v>
      </c>
      <c r="G3" s="9" t="s">
        <v>168</v>
      </c>
      <c r="H3" s="9" t="s">
        <v>289</v>
      </c>
      <c r="I3" s="4"/>
      <c r="J3" s="4"/>
    </row>
    <row r="4" spans="1:10" ht="45" x14ac:dyDescent="0.25">
      <c r="A4" s="8">
        <v>2</v>
      </c>
      <c r="B4" s="9" t="s">
        <v>169</v>
      </c>
      <c r="C4" s="9" t="s">
        <v>170</v>
      </c>
      <c r="D4" s="9" t="s">
        <v>171</v>
      </c>
      <c r="E4" s="9" t="s">
        <v>172</v>
      </c>
      <c r="F4" s="9" t="s">
        <v>173</v>
      </c>
      <c r="G4" s="9" t="s">
        <v>174</v>
      </c>
      <c r="H4" s="9" t="s">
        <v>175</v>
      </c>
      <c r="I4" s="4"/>
      <c r="J4" s="4"/>
    </row>
    <row r="5" spans="1:10" ht="30" x14ac:dyDescent="0.25">
      <c r="A5" s="8">
        <v>3</v>
      </c>
      <c r="B5" s="9" t="s">
        <v>176</v>
      </c>
      <c r="C5" s="9" t="s">
        <v>177</v>
      </c>
      <c r="D5" s="9" t="s">
        <v>178</v>
      </c>
      <c r="E5" s="9" t="s">
        <v>179</v>
      </c>
      <c r="F5" s="9" t="s">
        <v>180</v>
      </c>
      <c r="G5" s="9" t="s">
        <v>181</v>
      </c>
      <c r="H5" s="9" t="s">
        <v>182</v>
      </c>
      <c r="I5" s="4"/>
      <c r="J5" s="4"/>
    </row>
    <row r="6" spans="1:10" ht="30" x14ac:dyDescent="0.25">
      <c r="A6" s="8">
        <v>4</v>
      </c>
      <c r="B6" s="9" t="s">
        <v>183</v>
      </c>
      <c r="C6" s="9" t="s">
        <v>184</v>
      </c>
      <c r="D6" s="9" t="s">
        <v>185</v>
      </c>
      <c r="E6" s="9" t="s">
        <v>186</v>
      </c>
      <c r="F6" s="9" t="s">
        <v>187</v>
      </c>
      <c r="G6" s="9" t="s">
        <v>188</v>
      </c>
      <c r="H6" s="9" t="s">
        <v>189</v>
      </c>
      <c r="I6" s="4"/>
      <c r="J6" s="4"/>
    </row>
    <row r="7" spans="1:10" ht="45" x14ac:dyDescent="0.25">
      <c r="A7" s="8">
        <v>5</v>
      </c>
      <c r="B7" s="9" t="s">
        <v>190</v>
      </c>
      <c r="C7" s="9" t="s">
        <v>191</v>
      </c>
      <c r="D7" s="9" t="s">
        <v>192</v>
      </c>
      <c r="E7" s="9" t="s">
        <v>193</v>
      </c>
      <c r="F7" s="9" t="s">
        <v>194</v>
      </c>
      <c r="G7" s="9" t="s">
        <v>195</v>
      </c>
      <c r="H7" s="9" t="s">
        <v>196</v>
      </c>
      <c r="I7" s="4"/>
      <c r="J7" s="4"/>
    </row>
    <row r="8" spans="1:10" ht="45" x14ac:dyDescent="0.25">
      <c r="A8" s="8">
        <v>6</v>
      </c>
      <c r="B8" s="9" t="s">
        <v>197</v>
      </c>
      <c r="C8" s="9" t="s">
        <v>198</v>
      </c>
      <c r="D8" s="9" t="s">
        <v>199</v>
      </c>
      <c r="E8" s="9" t="s">
        <v>200</v>
      </c>
      <c r="F8" s="9" t="s">
        <v>201</v>
      </c>
      <c r="G8" s="9" t="s">
        <v>202</v>
      </c>
      <c r="H8" s="9" t="s">
        <v>203</v>
      </c>
      <c r="I8" s="4"/>
      <c r="J8" s="4"/>
    </row>
    <row r="9" spans="1:10" ht="45" x14ac:dyDescent="0.25">
      <c r="A9" s="8">
        <v>7</v>
      </c>
      <c r="B9" s="9" t="s">
        <v>204</v>
      </c>
      <c r="C9" s="9" t="s">
        <v>205</v>
      </c>
      <c r="D9" s="9" t="s">
        <v>206</v>
      </c>
      <c r="E9" s="9" t="s">
        <v>207</v>
      </c>
      <c r="F9" s="9" t="s">
        <v>208</v>
      </c>
      <c r="G9" s="9" t="s">
        <v>209</v>
      </c>
      <c r="H9" s="9" t="s">
        <v>210</v>
      </c>
      <c r="I9" s="4"/>
      <c r="J9" s="4"/>
    </row>
    <row r="10" spans="1:10" ht="45" x14ac:dyDescent="0.25">
      <c r="A10" s="8">
        <v>8</v>
      </c>
      <c r="B10" s="9" t="s">
        <v>211</v>
      </c>
      <c r="C10" s="9" t="s">
        <v>212</v>
      </c>
      <c r="D10" s="9" t="s">
        <v>213</v>
      </c>
      <c r="E10" s="9" t="s">
        <v>214</v>
      </c>
      <c r="F10" s="9" t="s">
        <v>215</v>
      </c>
      <c r="G10" s="9" t="s">
        <v>216</v>
      </c>
      <c r="H10" s="9" t="s">
        <v>217</v>
      </c>
      <c r="I10" s="4"/>
      <c r="J10" s="4"/>
    </row>
    <row r="11" spans="1:10" ht="45" x14ac:dyDescent="0.25">
      <c r="A11" s="8">
        <v>9</v>
      </c>
      <c r="B11" s="9" t="s">
        <v>218</v>
      </c>
      <c r="C11" s="9" t="s">
        <v>219</v>
      </c>
      <c r="D11" s="9" t="s">
        <v>220</v>
      </c>
      <c r="E11" s="9" t="s">
        <v>221</v>
      </c>
      <c r="F11" s="9" t="s">
        <v>222</v>
      </c>
      <c r="G11" s="9" t="s">
        <v>223</v>
      </c>
      <c r="H11" s="9" t="s">
        <v>224</v>
      </c>
      <c r="I11" s="4"/>
      <c r="J11" s="4"/>
    </row>
    <row r="12" spans="1:10" ht="45" x14ac:dyDescent="0.25">
      <c r="A12" s="8">
        <v>10</v>
      </c>
      <c r="B12" s="9" t="s">
        <v>225</v>
      </c>
      <c r="C12" s="9" t="s">
        <v>226</v>
      </c>
      <c r="D12" s="9" t="s">
        <v>227</v>
      </c>
      <c r="E12" s="9" t="s">
        <v>228</v>
      </c>
      <c r="F12" s="9" t="s">
        <v>229</v>
      </c>
      <c r="G12" s="9" t="s">
        <v>230</v>
      </c>
      <c r="H12" s="9" t="s">
        <v>231</v>
      </c>
      <c r="I12" s="4"/>
      <c r="J12" s="4"/>
    </row>
    <row r="13" spans="1:10" ht="45" x14ac:dyDescent="0.25">
      <c r="A13" s="8">
        <v>11</v>
      </c>
      <c r="B13" s="9" t="s">
        <v>232</v>
      </c>
      <c r="C13" s="9" t="s">
        <v>233</v>
      </c>
      <c r="D13" s="9" t="s">
        <v>234</v>
      </c>
      <c r="E13" s="9" t="s">
        <v>235</v>
      </c>
      <c r="F13" s="9" t="s">
        <v>236</v>
      </c>
      <c r="G13" s="9" t="s">
        <v>237</v>
      </c>
      <c r="H13" s="9" t="s">
        <v>238</v>
      </c>
      <c r="I13" s="4"/>
      <c r="J13" s="4"/>
    </row>
    <row r="14" spans="1:10" ht="45" x14ac:dyDescent="0.25">
      <c r="A14" s="8">
        <v>12</v>
      </c>
      <c r="B14" s="9" t="s">
        <v>239</v>
      </c>
      <c r="C14" s="9" t="s">
        <v>240</v>
      </c>
      <c r="D14" s="9" t="s">
        <v>241</v>
      </c>
      <c r="E14" s="9" t="s">
        <v>242</v>
      </c>
      <c r="F14" s="9" t="s">
        <v>243</v>
      </c>
      <c r="G14" s="9" t="s">
        <v>244</v>
      </c>
      <c r="H14" s="9" t="s">
        <v>245</v>
      </c>
      <c r="I14" s="4"/>
      <c r="J14" s="4"/>
    </row>
    <row r="15" spans="1:10" ht="45" x14ac:dyDescent="0.25">
      <c r="A15" s="8">
        <v>13</v>
      </c>
      <c r="B15" s="9" t="s">
        <v>246</v>
      </c>
      <c r="C15" s="9" t="s">
        <v>247</v>
      </c>
      <c r="D15" s="9" t="s">
        <v>248</v>
      </c>
      <c r="E15" s="9" t="s">
        <v>249</v>
      </c>
      <c r="F15" s="9" t="s">
        <v>250</v>
      </c>
      <c r="G15" s="9" t="s">
        <v>251</v>
      </c>
      <c r="H15" s="9" t="s">
        <v>252</v>
      </c>
      <c r="I15" s="4"/>
      <c r="J15" s="4"/>
    </row>
    <row r="16" spans="1:10" ht="45" x14ac:dyDescent="0.25">
      <c r="A16" s="8">
        <v>14</v>
      </c>
      <c r="B16" s="9" t="s">
        <v>253</v>
      </c>
      <c r="C16" s="9" t="s">
        <v>254</v>
      </c>
      <c r="D16" s="9" t="s">
        <v>255</v>
      </c>
      <c r="E16" s="9" t="s">
        <v>256</v>
      </c>
      <c r="F16" s="9" t="s">
        <v>257</v>
      </c>
      <c r="G16" s="9" t="s">
        <v>258</v>
      </c>
      <c r="H16" s="9" t="s">
        <v>259</v>
      </c>
      <c r="I16" s="4"/>
      <c r="J16" s="4"/>
    </row>
    <row r="17" spans="1:10" ht="45" x14ac:dyDescent="0.25">
      <c r="A17" s="8">
        <v>15</v>
      </c>
      <c r="B17" s="9" t="s">
        <v>260</v>
      </c>
      <c r="C17" s="9" t="s">
        <v>261</v>
      </c>
      <c r="D17" s="9" t="s">
        <v>262</v>
      </c>
      <c r="E17" s="9" t="s">
        <v>263</v>
      </c>
      <c r="F17" s="9" t="s">
        <v>264</v>
      </c>
      <c r="G17" s="9" t="s">
        <v>265</v>
      </c>
      <c r="H17" s="9" t="s">
        <v>266</v>
      </c>
      <c r="I17" s="4"/>
      <c r="J17" s="4"/>
    </row>
    <row r="18" spans="1:10" ht="30" x14ac:dyDescent="0.25">
      <c r="A18" s="8">
        <v>16</v>
      </c>
      <c r="B18" s="9" t="s">
        <v>267</v>
      </c>
      <c r="C18" s="9" t="s">
        <v>268</v>
      </c>
      <c r="D18" s="9" t="s">
        <v>269</v>
      </c>
      <c r="E18" s="9" t="s">
        <v>270</v>
      </c>
      <c r="F18" s="9" t="s">
        <v>271</v>
      </c>
      <c r="G18" s="9" t="s">
        <v>272</v>
      </c>
      <c r="H18" s="9" t="s">
        <v>273</v>
      </c>
      <c r="I18" s="4"/>
      <c r="J18" s="4"/>
    </row>
    <row r="19" spans="1:10" ht="45" x14ac:dyDescent="0.25">
      <c r="A19" s="8">
        <v>17</v>
      </c>
      <c r="B19" s="9" t="s">
        <v>274</v>
      </c>
      <c r="C19" s="9" t="s">
        <v>275</v>
      </c>
      <c r="D19" s="9" t="s">
        <v>276</v>
      </c>
      <c r="E19" s="9" t="s">
        <v>277</v>
      </c>
      <c r="F19" s="9" t="s">
        <v>278</v>
      </c>
      <c r="G19" s="9" t="s">
        <v>279</v>
      </c>
      <c r="H19" s="9" t="s">
        <v>280</v>
      </c>
      <c r="I19" s="4"/>
      <c r="J19" s="4"/>
    </row>
    <row r="20" spans="1:10" ht="45" x14ac:dyDescent="0.25">
      <c r="A20" s="8">
        <v>18</v>
      </c>
      <c r="B20" s="9" t="s">
        <v>281</v>
      </c>
      <c r="C20" s="9" t="s">
        <v>282</v>
      </c>
      <c r="D20" s="9" t="s">
        <v>283</v>
      </c>
      <c r="E20" s="9" t="s">
        <v>284</v>
      </c>
      <c r="F20" s="9" t="s">
        <v>285</v>
      </c>
      <c r="G20" s="9" t="s">
        <v>286</v>
      </c>
      <c r="H20" s="9" t="s">
        <v>287</v>
      </c>
      <c r="I20" s="4"/>
      <c r="J20" s="4"/>
    </row>
    <row r="22" spans="1:10" ht="17.25" x14ac:dyDescent="0.25">
      <c r="A22" s="24" t="s">
        <v>290</v>
      </c>
      <c r="B22" s="24"/>
      <c r="C22" s="24"/>
      <c r="D22" s="24"/>
      <c r="E22" s="24"/>
      <c r="F22" s="24"/>
      <c r="G22" s="24"/>
    </row>
    <row r="23" spans="1:10" x14ac:dyDescent="0.25">
      <c r="A23" s="25" t="s">
        <v>291</v>
      </c>
      <c r="B23" s="25"/>
      <c r="C23" s="25"/>
      <c r="D23" s="25"/>
      <c r="E23" s="25"/>
      <c r="F23" s="25"/>
      <c r="G23" s="25"/>
    </row>
    <row r="24" spans="1:10" x14ac:dyDescent="0.25">
      <c r="A24" s="10" t="s">
        <v>155</v>
      </c>
      <c r="B24" s="11" t="s">
        <v>156</v>
      </c>
      <c r="C24" s="11" t="s">
        <v>292</v>
      </c>
      <c r="D24" s="11" t="s">
        <v>293</v>
      </c>
      <c r="E24" s="11" t="s">
        <v>294</v>
      </c>
      <c r="F24" s="10" t="s">
        <v>295</v>
      </c>
      <c r="G24" s="11" t="s">
        <v>296</v>
      </c>
    </row>
    <row r="25" spans="1:10" ht="30" x14ac:dyDescent="0.25">
      <c r="A25" s="8">
        <v>1</v>
      </c>
      <c r="B25" s="9" t="s">
        <v>297</v>
      </c>
      <c r="C25" s="9" t="s">
        <v>298</v>
      </c>
      <c r="D25" s="9" t="s">
        <v>299</v>
      </c>
      <c r="E25" s="9" t="s">
        <v>300</v>
      </c>
      <c r="F25" s="8">
        <v>3</v>
      </c>
      <c r="G25" s="9" t="s">
        <v>301</v>
      </c>
    </row>
    <row r="26" spans="1:10" ht="30" x14ac:dyDescent="0.25">
      <c r="A26" s="8">
        <v>2</v>
      </c>
      <c r="B26" s="9" t="s">
        <v>302</v>
      </c>
      <c r="C26" s="9" t="s">
        <v>303</v>
      </c>
      <c r="D26" s="9" t="s">
        <v>304</v>
      </c>
      <c r="E26" s="9" t="s">
        <v>305</v>
      </c>
      <c r="F26" s="8">
        <v>1</v>
      </c>
      <c r="G26" s="9" t="s">
        <v>306</v>
      </c>
    </row>
    <row r="27" spans="1:10" ht="30" x14ac:dyDescent="0.25">
      <c r="A27" s="8">
        <v>3</v>
      </c>
      <c r="B27" s="9" t="s">
        <v>307</v>
      </c>
      <c r="C27" s="9" t="s">
        <v>308</v>
      </c>
      <c r="D27" s="9" t="s">
        <v>309</v>
      </c>
      <c r="E27" s="9" t="s">
        <v>310</v>
      </c>
      <c r="F27" s="8">
        <v>2</v>
      </c>
      <c r="G27" s="9" t="s">
        <v>311</v>
      </c>
    </row>
    <row r="28" spans="1:10" ht="30" x14ac:dyDescent="0.25">
      <c r="A28" s="8">
        <v>4</v>
      </c>
      <c r="B28" s="9" t="s">
        <v>312</v>
      </c>
      <c r="C28" s="9" t="s">
        <v>313</v>
      </c>
      <c r="D28" s="9" t="s">
        <v>314</v>
      </c>
      <c r="E28" s="9" t="s">
        <v>315</v>
      </c>
      <c r="F28" s="8">
        <v>3</v>
      </c>
      <c r="G28" s="9" t="s">
        <v>316</v>
      </c>
    </row>
    <row r="29" spans="1:10" ht="30" x14ac:dyDescent="0.25">
      <c r="A29" s="8">
        <v>5</v>
      </c>
      <c r="B29" s="9" t="s">
        <v>317</v>
      </c>
      <c r="C29" s="9" t="s">
        <v>318</v>
      </c>
      <c r="D29" s="9" t="s">
        <v>319</v>
      </c>
      <c r="E29" s="9" t="s">
        <v>320</v>
      </c>
      <c r="F29" s="8">
        <v>4</v>
      </c>
      <c r="G29" s="9" t="s">
        <v>321</v>
      </c>
    </row>
    <row r="30" spans="1:10" ht="30" x14ac:dyDescent="0.25">
      <c r="A30" s="8">
        <v>6</v>
      </c>
      <c r="B30" s="9" t="s">
        <v>322</v>
      </c>
      <c r="C30" s="9" t="s">
        <v>323</v>
      </c>
      <c r="D30" s="9" t="s">
        <v>324</v>
      </c>
      <c r="E30" s="9" t="s">
        <v>325</v>
      </c>
      <c r="F30" s="8">
        <v>2</v>
      </c>
      <c r="G30" s="9" t="s">
        <v>326</v>
      </c>
    </row>
    <row r="31" spans="1:10" ht="30" x14ac:dyDescent="0.25">
      <c r="A31" s="8">
        <v>7</v>
      </c>
      <c r="B31" s="9" t="s">
        <v>327</v>
      </c>
      <c r="C31" s="9" t="s">
        <v>328</v>
      </c>
      <c r="D31" s="9" t="s">
        <v>329</v>
      </c>
      <c r="E31" s="9" t="s">
        <v>330</v>
      </c>
      <c r="F31" s="8">
        <v>2</v>
      </c>
      <c r="G31" s="9" t="s">
        <v>331</v>
      </c>
    </row>
    <row r="32" spans="1:10" ht="30" x14ac:dyDescent="0.25">
      <c r="A32" s="8">
        <v>8</v>
      </c>
      <c r="B32" s="9" t="s">
        <v>332</v>
      </c>
      <c r="C32" s="9" t="s">
        <v>333</v>
      </c>
      <c r="D32" s="9" t="s">
        <v>334</v>
      </c>
      <c r="E32" s="9" t="s">
        <v>335</v>
      </c>
      <c r="F32" s="8">
        <v>3</v>
      </c>
      <c r="G32" s="9" t="s">
        <v>336</v>
      </c>
    </row>
    <row r="33" spans="1:7" ht="30" x14ac:dyDescent="0.25">
      <c r="A33" s="8">
        <v>9</v>
      </c>
      <c r="B33" s="9" t="s">
        <v>337</v>
      </c>
      <c r="C33" s="9" t="s">
        <v>338</v>
      </c>
      <c r="D33" s="9" t="s">
        <v>339</v>
      </c>
      <c r="E33" s="9" t="s">
        <v>340</v>
      </c>
      <c r="F33" s="8">
        <v>2</v>
      </c>
      <c r="G33" s="9" t="s">
        <v>341</v>
      </c>
    </row>
    <row r="34" spans="1:7" ht="30" x14ac:dyDescent="0.25">
      <c r="A34" s="8">
        <v>10</v>
      </c>
      <c r="B34" s="9" t="s">
        <v>342</v>
      </c>
      <c r="C34" s="9" t="s">
        <v>343</v>
      </c>
      <c r="D34" s="9" t="s">
        <v>344</v>
      </c>
      <c r="E34" s="9" t="s">
        <v>345</v>
      </c>
      <c r="F34" s="8">
        <v>3</v>
      </c>
      <c r="G34" s="9" t="s">
        <v>346</v>
      </c>
    </row>
    <row r="35" spans="1:7" ht="30" x14ac:dyDescent="0.25">
      <c r="A35" s="8">
        <v>11</v>
      </c>
      <c r="B35" s="9" t="s">
        <v>347</v>
      </c>
      <c r="C35" s="9" t="s">
        <v>348</v>
      </c>
      <c r="D35" s="9" t="s">
        <v>349</v>
      </c>
      <c r="E35" s="9" t="s">
        <v>350</v>
      </c>
      <c r="F35" s="8">
        <v>3</v>
      </c>
      <c r="G35" s="9" t="s">
        <v>351</v>
      </c>
    </row>
    <row r="36" spans="1:7" ht="30" x14ac:dyDescent="0.25">
      <c r="A36" s="8">
        <v>12</v>
      </c>
      <c r="B36" s="9" t="s">
        <v>352</v>
      </c>
      <c r="C36" s="9" t="s">
        <v>353</v>
      </c>
      <c r="D36" s="9" t="s">
        <v>354</v>
      </c>
      <c r="E36" s="9" t="s">
        <v>355</v>
      </c>
      <c r="F36" s="8">
        <v>2</v>
      </c>
      <c r="G36" s="9" t="s">
        <v>356</v>
      </c>
    </row>
    <row r="37" spans="1:7" ht="30" x14ac:dyDescent="0.25">
      <c r="A37" s="8">
        <v>13</v>
      </c>
      <c r="B37" s="9" t="s">
        <v>357</v>
      </c>
      <c r="C37" s="9" t="s">
        <v>358</v>
      </c>
      <c r="D37" s="9" t="s">
        <v>359</v>
      </c>
      <c r="E37" s="9" t="s">
        <v>360</v>
      </c>
      <c r="F37" s="8">
        <v>3</v>
      </c>
      <c r="G37" s="9" t="s">
        <v>361</v>
      </c>
    </row>
    <row r="38" spans="1:7" ht="30" x14ac:dyDescent="0.25">
      <c r="A38" s="8">
        <v>14</v>
      </c>
      <c r="B38" s="9" t="s">
        <v>362</v>
      </c>
      <c r="C38" s="9" t="s">
        <v>363</v>
      </c>
      <c r="D38" s="9" t="s">
        <v>364</v>
      </c>
      <c r="E38" s="9" t="s">
        <v>365</v>
      </c>
      <c r="F38" s="8">
        <v>3</v>
      </c>
      <c r="G38" s="9" t="s">
        <v>366</v>
      </c>
    </row>
    <row r="39" spans="1:7" ht="30" x14ac:dyDescent="0.25">
      <c r="A39" s="8">
        <v>15</v>
      </c>
      <c r="B39" s="9" t="s">
        <v>367</v>
      </c>
      <c r="C39" s="9" t="s">
        <v>368</v>
      </c>
      <c r="D39" s="9" t="s">
        <v>369</v>
      </c>
      <c r="E39" s="9" t="s">
        <v>370</v>
      </c>
      <c r="F39" s="8">
        <v>4</v>
      </c>
      <c r="G39" s="9" t="s">
        <v>371</v>
      </c>
    </row>
    <row r="40" spans="1:7" ht="30" x14ac:dyDescent="0.25">
      <c r="A40" s="8">
        <v>16</v>
      </c>
      <c r="B40" s="9" t="s">
        <v>372</v>
      </c>
      <c r="C40" s="9" t="s">
        <v>373</v>
      </c>
      <c r="D40" s="9" t="s">
        <v>374</v>
      </c>
      <c r="E40" s="9" t="s">
        <v>375</v>
      </c>
      <c r="F40" s="8">
        <v>2</v>
      </c>
      <c r="G40" s="9" t="s">
        <v>376</v>
      </c>
    </row>
    <row r="41" spans="1:7" ht="30" x14ac:dyDescent="0.25">
      <c r="A41" s="8">
        <v>17</v>
      </c>
      <c r="B41" s="9" t="s">
        <v>377</v>
      </c>
      <c r="C41" s="9" t="s">
        <v>378</v>
      </c>
      <c r="D41" s="9" t="s">
        <v>379</v>
      </c>
      <c r="E41" s="9" t="s">
        <v>380</v>
      </c>
      <c r="F41" s="8">
        <v>3</v>
      </c>
      <c r="G41" s="9" t="s">
        <v>381</v>
      </c>
    </row>
    <row r="42" spans="1:7" ht="30" x14ac:dyDescent="0.25">
      <c r="A42" s="8">
        <v>18</v>
      </c>
      <c r="B42" s="9" t="s">
        <v>382</v>
      </c>
      <c r="C42" s="9" t="s">
        <v>383</v>
      </c>
      <c r="D42" s="9" t="s">
        <v>384</v>
      </c>
      <c r="E42" s="9" t="s">
        <v>385</v>
      </c>
      <c r="F42" s="8">
        <v>3</v>
      </c>
      <c r="G42" s="9" t="s">
        <v>386</v>
      </c>
    </row>
    <row r="43" spans="1:7" ht="30" x14ac:dyDescent="0.25">
      <c r="A43" s="8">
        <v>19</v>
      </c>
      <c r="B43" s="9" t="s">
        <v>387</v>
      </c>
      <c r="C43" s="9" t="s">
        <v>388</v>
      </c>
      <c r="D43" s="9" t="s">
        <v>389</v>
      </c>
      <c r="E43" s="9" t="s">
        <v>390</v>
      </c>
      <c r="F43" s="8">
        <v>2</v>
      </c>
      <c r="G43" s="9" t="s">
        <v>391</v>
      </c>
    </row>
    <row r="44" spans="1:7" ht="30" x14ac:dyDescent="0.25">
      <c r="A44" s="8">
        <v>20</v>
      </c>
      <c r="B44" s="9" t="s">
        <v>392</v>
      </c>
      <c r="C44" s="9" t="s">
        <v>393</v>
      </c>
      <c r="D44" s="9" t="s">
        <v>394</v>
      </c>
      <c r="E44" s="9" t="s">
        <v>395</v>
      </c>
      <c r="F44" s="8">
        <v>2</v>
      </c>
      <c r="G44" s="9" t="s">
        <v>396</v>
      </c>
    </row>
    <row r="45" spans="1:7" ht="30" x14ac:dyDescent="0.25">
      <c r="A45" s="8">
        <v>21</v>
      </c>
      <c r="B45" s="9" t="s">
        <v>397</v>
      </c>
      <c r="C45" s="9" t="s">
        <v>398</v>
      </c>
      <c r="D45" s="9" t="s">
        <v>399</v>
      </c>
      <c r="E45" s="9" t="s">
        <v>400</v>
      </c>
      <c r="F45" s="8">
        <v>3</v>
      </c>
      <c r="G45" s="9" t="s">
        <v>401</v>
      </c>
    </row>
    <row r="46" spans="1:7" ht="30" x14ac:dyDescent="0.25">
      <c r="A46" s="8">
        <v>22</v>
      </c>
      <c r="B46" s="9" t="s">
        <v>402</v>
      </c>
      <c r="C46" s="9" t="s">
        <v>403</v>
      </c>
      <c r="D46" s="9" t="s">
        <v>404</v>
      </c>
      <c r="E46" s="9" t="s">
        <v>405</v>
      </c>
      <c r="F46" s="8">
        <v>4</v>
      </c>
      <c r="G46" s="9" t="s">
        <v>406</v>
      </c>
    </row>
    <row r="47" spans="1:7" ht="30" x14ac:dyDescent="0.25">
      <c r="A47" s="8">
        <v>23</v>
      </c>
      <c r="B47" s="9" t="s">
        <v>407</v>
      </c>
      <c r="C47" s="9" t="s">
        <v>408</v>
      </c>
      <c r="D47" s="9" t="s">
        <v>409</v>
      </c>
      <c r="E47" s="9" t="s">
        <v>410</v>
      </c>
      <c r="F47" s="8">
        <v>3</v>
      </c>
      <c r="G47" s="9" t="s">
        <v>411</v>
      </c>
    </row>
    <row r="48" spans="1:7" ht="30" x14ac:dyDescent="0.25">
      <c r="A48" s="8">
        <v>24</v>
      </c>
      <c r="B48" s="9" t="s">
        <v>412</v>
      </c>
      <c r="C48" s="9" t="s">
        <v>413</v>
      </c>
      <c r="D48" s="9" t="s">
        <v>414</v>
      </c>
      <c r="E48" s="9" t="s">
        <v>415</v>
      </c>
      <c r="F48" s="8">
        <v>2</v>
      </c>
      <c r="G48" s="9" t="s">
        <v>416</v>
      </c>
    </row>
    <row r="49" spans="1:7" ht="30" x14ac:dyDescent="0.25">
      <c r="A49" s="8">
        <v>25</v>
      </c>
      <c r="B49" s="9" t="s">
        <v>417</v>
      </c>
      <c r="C49" s="9" t="s">
        <v>418</v>
      </c>
      <c r="D49" s="9" t="s">
        <v>419</v>
      </c>
      <c r="E49" s="9" t="s">
        <v>420</v>
      </c>
      <c r="F49" s="8">
        <v>3</v>
      </c>
      <c r="G49" s="9" t="s">
        <v>421</v>
      </c>
    </row>
    <row r="50" spans="1:7" ht="30" x14ac:dyDescent="0.25">
      <c r="A50" s="8">
        <v>26</v>
      </c>
      <c r="B50" s="9" t="s">
        <v>422</v>
      </c>
      <c r="C50" s="9" t="s">
        <v>423</v>
      </c>
      <c r="D50" s="9" t="s">
        <v>424</v>
      </c>
      <c r="E50" s="9" t="s">
        <v>425</v>
      </c>
      <c r="F50" s="8">
        <v>1</v>
      </c>
      <c r="G50" s="9" t="s">
        <v>426</v>
      </c>
    </row>
    <row r="51" spans="1:7" ht="30" x14ac:dyDescent="0.25">
      <c r="A51" s="8">
        <v>27</v>
      </c>
      <c r="B51" s="9" t="s">
        <v>427</v>
      </c>
      <c r="C51" s="9" t="s">
        <v>428</v>
      </c>
      <c r="D51" s="9" t="s">
        <v>429</v>
      </c>
      <c r="E51" s="9" t="s">
        <v>430</v>
      </c>
      <c r="F51" s="8">
        <v>4</v>
      </c>
      <c r="G51" s="9" t="s">
        <v>431</v>
      </c>
    </row>
    <row r="52" spans="1:7" ht="30" x14ac:dyDescent="0.25">
      <c r="A52" s="8">
        <v>28</v>
      </c>
      <c r="B52" s="9" t="s">
        <v>432</v>
      </c>
      <c r="C52" s="9" t="s">
        <v>433</v>
      </c>
      <c r="D52" s="9" t="s">
        <v>434</v>
      </c>
      <c r="E52" s="9" t="s">
        <v>435</v>
      </c>
      <c r="F52" s="8">
        <v>2</v>
      </c>
      <c r="G52" s="9" t="s">
        <v>436</v>
      </c>
    </row>
    <row r="53" spans="1:7" ht="30" x14ac:dyDescent="0.25">
      <c r="A53" s="8">
        <v>29</v>
      </c>
      <c r="B53" s="9" t="s">
        <v>437</v>
      </c>
      <c r="C53" s="9" t="s">
        <v>438</v>
      </c>
      <c r="D53" s="9" t="s">
        <v>439</v>
      </c>
      <c r="E53" s="9" t="s">
        <v>440</v>
      </c>
      <c r="F53" s="8">
        <v>3</v>
      </c>
      <c r="G53" s="9" t="s">
        <v>441</v>
      </c>
    </row>
    <row r="54" spans="1:7" ht="30" x14ac:dyDescent="0.25">
      <c r="A54" s="8">
        <v>30</v>
      </c>
      <c r="B54" s="9" t="s">
        <v>442</v>
      </c>
      <c r="C54" s="9" t="s">
        <v>443</v>
      </c>
      <c r="D54" s="9" t="s">
        <v>444</v>
      </c>
      <c r="E54" s="9" t="s">
        <v>445</v>
      </c>
      <c r="F54" s="8">
        <v>2</v>
      </c>
      <c r="G54" s="9" t="s">
        <v>446</v>
      </c>
    </row>
    <row r="55" spans="1:7" ht="30" x14ac:dyDescent="0.25">
      <c r="A55" s="8">
        <v>31</v>
      </c>
      <c r="B55" s="9" t="s">
        <v>447</v>
      </c>
      <c r="C55" s="9" t="s">
        <v>448</v>
      </c>
      <c r="D55" s="9" t="s">
        <v>449</v>
      </c>
      <c r="E55" s="9" t="s">
        <v>450</v>
      </c>
      <c r="F55" s="8">
        <v>3</v>
      </c>
      <c r="G55" s="9" t="s">
        <v>451</v>
      </c>
    </row>
    <row r="56" spans="1:7" ht="30" x14ac:dyDescent="0.25">
      <c r="A56" s="8">
        <v>32</v>
      </c>
      <c r="B56" s="9" t="s">
        <v>452</v>
      </c>
      <c r="C56" s="9" t="s">
        <v>453</v>
      </c>
      <c r="D56" s="9" t="s">
        <v>454</v>
      </c>
      <c r="E56" s="9" t="s">
        <v>455</v>
      </c>
      <c r="F56" s="8">
        <v>2</v>
      </c>
      <c r="G56" s="9" t="s">
        <v>456</v>
      </c>
    </row>
    <row r="57" spans="1:7" ht="30" x14ac:dyDescent="0.25">
      <c r="A57" s="8">
        <v>33</v>
      </c>
      <c r="B57" s="9" t="s">
        <v>457</v>
      </c>
      <c r="C57" s="9" t="s">
        <v>458</v>
      </c>
      <c r="D57" s="9" t="s">
        <v>459</v>
      </c>
      <c r="E57" s="9" t="s">
        <v>460</v>
      </c>
      <c r="F57" s="8">
        <v>3</v>
      </c>
      <c r="G57" s="9" t="s">
        <v>461</v>
      </c>
    </row>
    <row r="58" spans="1:7" ht="30" x14ac:dyDescent="0.25">
      <c r="A58" s="8">
        <v>34</v>
      </c>
      <c r="B58" s="9" t="s">
        <v>462</v>
      </c>
      <c r="C58" s="9" t="s">
        <v>463</v>
      </c>
      <c r="D58" s="9" t="s">
        <v>464</v>
      </c>
      <c r="E58" s="9" t="s">
        <v>465</v>
      </c>
      <c r="F58" s="8">
        <v>3</v>
      </c>
      <c r="G58" s="9" t="s">
        <v>466</v>
      </c>
    </row>
    <row r="59" spans="1:7" ht="30" x14ac:dyDescent="0.25">
      <c r="A59" s="8">
        <v>35</v>
      </c>
      <c r="B59" s="9" t="s">
        <v>467</v>
      </c>
      <c r="C59" s="9" t="s">
        <v>468</v>
      </c>
      <c r="D59" s="9" t="s">
        <v>469</v>
      </c>
      <c r="E59" s="9" t="s">
        <v>470</v>
      </c>
      <c r="F59" s="8">
        <v>2</v>
      </c>
      <c r="G59" s="9" t="s">
        <v>471</v>
      </c>
    </row>
    <row r="60" spans="1:7" ht="30" x14ac:dyDescent="0.25">
      <c r="A60" s="8">
        <v>36</v>
      </c>
      <c r="B60" s="9" t="s">
        <v>472</v>
      </c>
      <c r="C60" s="9" t="s">
        <v>473</v>
      </c>
      <c r="D60" s="9" t="s">
        <v>474</v>
      </c>
      <c r="E60" s="9" t="s">
        <v>475</v>
      </c>
      <c r="F60" s="8">
        <v>2</v>
      </c>
      <c r="G60" s="9" t="s">
        <v>476</v>
      </c>
    </row>
    <row r="61" spans="1:7" ht="30" x14ac:dyDescent="0.25">
      <c r="A61" s="8">
        <v>37</v>
      </c>
      <c r="B61" s="9" t="s">
        <v>477</v>
      </c>
      <c r="C61" s="9" t="s">
        <v>478</v>
      </c>
      <c r="D61" s="9" t="s">
        <v>479</v>
      </c>
      <c r="E61" s="9" t="s">
        <v>480</v>
      </c>
      <c r="F61" s="8">
        <v>3</v>
      </c>
      <c r="G61" s="9" t="s">
        <v>481</v>
      </c>
    </row>
    <row r="62" spans="1:7" ht="30" x14ac:dyDescent="0.25">
      <c r="A62" s="8">
        <v>38</v>
      </c>
      <c r="B62" s="9" t="s">
        <v>482</v>
      </c>
      <c r="C62" s="9" t="s">
        <v>483</v>
      </c>
      <c r="D62" s="9" t="s">
        <v>484</v>
      </c>
      <c r="E62" s="9" t="s">
        <v>485</v>
      </c>
      <c r="F62" s="8">
        <v>3</v>
      </c>
      <c r="G62" s="9" t="s">
        <v>486</v>
      </c>
    </row>
    <row r="63" spans="1:7" ht="30" x14ac:dyDescent="0.25">
      <c r="A63" s="8">
        <v>39</v>
      </c>
      <c r="B63" s="9" t="s">
        <v>487</v>
      </c>
      <c r="C63" s="9" t="s">
        <v>488</v>
      </c>
      <c r="D63" s="9" t="s">
        <v>489</v>
      </c>
      <c r="E63" s="9" t="s">
        <v>490</v>
      </c>
      <c r="F63" s="8">
        <v>3</v>
      </c>
      <c r="G63" s="9" t="s">
        <v>491</v>
      </c>
    </row>
    <row r="64" spans="1:7" ht="30" x14ac:dyDescent="0.25">
      <c r="A64" s="8">
        <v>40</v>
      </c>
      <c r="B64" s="9" t="s">
        <v>492</v>
      </c>
      <c r="C64" s="9" t="s">
        <v>493</v>
      </c>
      <c r="D64" s="9" t="s">
        <v>494</v>
      </c>
      <c r="E64" s="9" t="s">
        <v>495</v>
      </c>
      <c r="F64" s="8">
        <v>3</v>
      </c>
      <c r="G64" s="9" t="s">
        <v>496</v>
      </c>
    </row>
    <row r="65" spans="1:9" ht="30" x14ac:dyDescent="0.25">
      <c r="A65" s="8">
        <v>41</v>
      </c>
      <c r="B65" s="9" t="s">
        <v>497</v>
      </c>
      <c r="C65" s="9" t="s">
        <v>498</v>
      </c>
      <c r="D65" s="9" t="s">
        <v>499</v>
      </c>
      <c r="E65" s="9" t="s">
        <v>500</v>
      </c>
      <c r="F65" s="8">
        <v>4</v>
      </c>
      <c r="G65" s="9" t="s">
        <v>501</v>
      </c>
    </row>
    <row r="66" spans="1:9" ht="30" x14ac:dyDescent="0.25">
      <c r="A66" s="8">
        <v>42</v>
      </c>
      <c r="B66" s="9" t="s">
        <v>502</v>
      </c>
      <c r="C66" s="9" t="s">
        <v>503</v>
      </c>
      <c r="D66" s="9" t="s">
        <v>504</v>
      </c>
      <c r="E66" s="9" t="s">
        <v>505</v>
      </c>
      <c r="F66" s="8">
        <v>2</v>
      </c>
      <c r="G66" s="9" t="s">
        <v>506</v>
      </c>
    </row>
    <row r="67" spans="1:9" ht="30" x14ac:dyDescent="0.25">
      <c r="A67" s="8">
        <v>43</v>
      </c>
      <c r="B67" s="9" t="s">
        <v>507</v>
      </c>
      <c r="C67" s="9" t="s">
        <v>508</v>
      </c>
      <c r="D67" s="9" t="s">
        <v>509</v>
      </c>
      <c r="E67" s="9" t="s">
        <v>510</v>
      </c>
      <c r="F67" s="8">
        <v>1</v>
      </c>
      <c r="G67" s="9" t="s">
        <v>511</v>
      </c>
    </row>
    <row r="68" spans="1:9" ht="30" x14ac:dyDescent="0.25">
      <c r="A68" s="8">
        <v>44</v>
      </c>
      <c r="B68" s="9" t="s">
        <v>512</v>
      </c>
      <c r="C68" s="9" t="s">
        <v>513</v>
      </c>
      <c r="D68" s="9" t="s">
        <v>514</v>
      </c>
      <c r="E68" s="9" t="s">
        <v>515</v>
      </c>
      <c r="F68" s="8">
        <v>3</v>
      </c>
      <c r="G68" s="9" t="s">
        <v>516</v>
      </c>
    </row>
    <row r="69" spans="1:9" ht="30" x14ac:dyDescent="0.25">
      <c r="A69" s="8">
        <v>45</v>
      </c>
      <c r="B69" s="9" t="s">
        <v>517</v>
      </c>
      <c r="C69" s="9" t="s">
        <v>518</v>
      </c>
      <c r="D69" s="9" t="s">
        <v>519</v>
      </c>
      <c r="E69" s="9" t="s">
        <v>520</v>
      </c>
      <c r="F69" s="8">
        <v>2</v>
      </c>
      <c r="G69" s="9" t="s">
        <v>521</v>
      </c>
    </row>
    <row r="70" spans="1:9" ht="30" x14ac:dyDescent="0.25">
      <c r="A70" s="8">
        <v>46</v>
      </c>
      <c r="B70" s="9" t="s">
        <v>522</v>
      </c>
      <c r="C70" s="9" t="s">
        <v>523</v>
      </c>
      <c r="D70" s="9" t="s">
        <v>524</v>
      </c>
      <c r="E70" s="9" t="s">
        <v>525</v>
      </c>
      <c r="F70" s="8">
        <v>2</v>
      </c>
      <c r="G70" s="9" t="s">
        <v>526</v>
      </c>
    </row>
    <row r="71" spans="1:9" ht="30" x14ac:dyDescent="0.25">
      <c r="A71" s="8">
        <v>47</v>
      </c>
      <c r="B71" s="9" t="s">
        <v>527</v>
      </c>
      <c r="C71" s="9" t="s">
        <v>528</v>
      </c>
      <c r="D71" s="9" t="s">
        <v>529</v>
      </c>
      <c r="E71" s="9" t="s">
        <v>530</v>
      </c>
      <c r="F71" s="8">
        <v>3</v>
      </c>
      <c r="G71" s="9" t="s">
        <v>531</v>
      </c>
    </row>
    <row r="72" spans="1:9" ht="30" x14ac:dyDescent="0.25">
      <c r="A72" s="8">
        <v>48</v>
      </c>
      <c r="B72" s="9" t="s">
        <v>532</v>
      </c>
      <c r="C72" s="9" t="s">
        <v>533</v>
      </c>
      <c r="D72" s="9" t="s">
        <v>534</v>
      </c>
      <c r="E72" s="9" t="s">
        <v>535</v>
      </c>
      <c r="F72" s="8">
        <v>3</v>
      </c>
      <c r="G72" s="9" t="s">
        <v>536</v>
      </c>
    </row>
    <row r="73" spans="1:9" ht="30" x14ac:dyDescent="0.25">
      <c r="A73" s="8">
        <v>49</v>
      </c>
      <c r="B73" s="9" t="s">
        <v>537</v>
      </c>
      <c r="C73" s="9" t="s">
        <v>538</v>
      </c>
      <c r="D73" s="9" t="s">
        <v>539</v>
      </c>
      <c r="E73" s="9" t="s">
        <v>540</v>
      </c>
      <c r="F73" s="8">
        <v>3</v>
      </c>
      <c r="G73" s="9" t="s">
        <v>541</v>
      </c>
    </row>
    <row r="74" spans="1:9" ht="30" x14ac:dyDescent="0.25">
      <c r="A74" s="8">
        <v>50</v>
      </c>
      <c r="B74" s="9" t="s">
        <v>542</v>
      </c>
      <c r="C74" s="9" t="s">
        <v>543</v>
      </c>
      <c r="D74" s="9" t="s">
        <v>544</v>
      </c>
      <c r="E74" s="9" t="s">
        <v>545</v>
      </c>
      <c r="F74" s="8">
        <v>3</v>
      </c>
      <c r="G74" s="9" t="s">
        <v>546</v>
      </c>
    </row>
    <row r="75" spans="1:9" x14ac:dyDescent="0.25">
      <c r="A75" s="28"/>
      <c r="B75" s="28"/>
      <c r="C75" s="28"/>
      <c r="D75" s="28"/>
      <c r="E75" s="28"/>
      <c r="F75" s="28"/>
      <c r="G75" s="28"/>
    </row>
    <row r="78" spans="1:9" ht="17.25" x14ac:dyDescent="0.25">
      <c r="A78" s="24" t="s">
        <v>547</v>
      </c>
      <c r="B78" s="24"/>
      <c r="C78" s="24"/>
      <c r="D78" s="24"/>
      <c r="E78" s="24"/>
      <c r="F78" s="24"/>
      <c r="G78" s="24"/>
      <c r="H78" s="24"/>
      <c r="I78" s="24"/>
    </row>
    <row r="79" spans="1:9" x14ac:dyDescent="0.25">
      <c r="A79" s="25" t="s">
        <v>548</v>
      </c>
      <c r="B79" s="25"/>
      <c r="C79" s="25"/>
      <c r="D79" s="25"/>
      <c r="E79" s="25"/>
      <c r="F79" s="25"/>
      <c r="G79" s="25"/>
      <c r="H79" s="25"/>
      <c r="I79" s="25"/>
    </row>
    <row r="80" spans="1:9" x14ac:dyDescent="0.25">
      <c r="A80" s="6" t="s">
        <v>155</v>
      </c>
      <c r="B80" s="7" t="s">
        <v>549</v>
      </c>
      <c r="C80" s="7" t="s">
        <v>550</v>
      </c>
      <c r="D80" s="7" t="s">
        <v>551</v>
      </c>
      <c r="E80" s="6" t="s">
        <v>552</v>
      </c>
      <c r="F80" s="6" t="s">
        <v>553</v>
      </c>
      <c r="G80" s="6" t="s">
        <v>554</v>
      </c>
      <c r="H80" s="6" t="s">
        <v>555</v>
      </c>
      <c r="I80" s="6" t="s">
        <v>556</v>
      </c>
    </row>
    <row r="81" spans="1:9" ht="30" x14ac:dyDescent="0.25">
      <c r="A81" s="8">
        <v>1</v>
      </c>
      <c r="B81" s="9" t="s">
        <v>557</v>
      </c>
      <c r="C81" s="9" t="s">
        <v>558</v>
      </c>
      <c r="D81" s="9" t="s">
        <v>559</v>
      </c>
      <c r="E81" s="12">
        <v>120</v>
      </c>
      <c r="F81" s="12">
        <v>280</v>
      </c>
      <c r="G81" s="12">
        <v>1050</v>
      </c>
      <c r="H81" s="12">
        <v>2400</v>
      </c>
      <c r="I81" s="13">
        <f t="shared" ref="I81:I112" si="0">ROUND((H81-E81)/E81*100,0)</f>
        <v>1900</v>
      </c>
    </row>
    <row r="82" spans="1:9" ht="30" x14ac:dyDescent="0.25">
      <c r="A82" s="8">
        <v>2</v>
      </c>
      <c r="B82" s="9" t="s">
        <v>560</v>
      </c>
      <c r="C82" s="9" t="s">
        <v>561</v>
      </c>
      <c r="D82" s="9" t="s">
        <v>562</v>
      </c>
      <c r="E82" s="12">
        <v>500</v>
      </c>
      <c r="F82" s="12">
        <v>900</v>
      </c>
      <c r="G82" s="12">
        <v>3200</v>
      </c>
      <c r="H82" s="12">
        <v>7500</v>
      </c>
      <c r="I82" s="13">
        <f t="shared" si="0"/>
        <v>1400</v>
      </c>
    </row>
    <row r="83" spans="1:9" ht="30" x14ac:dyDescent="0.25">
      <c r="A83" s="8">
        <v>3</v>
      </c>
      <c r="B83" s="9" t="s">
        <v>563</v>
      </c>
      <c r="C83" s="9" t="s">
        <v>564</v>
      </c>
      <c r="D83" s="9" t="s">
        <v>565</v>
      </c>
      <c r="E83" s="12">
        <v>350</v>
      </c>
      <c r="F83" s="12">
        <v>600</v>
      </c>
      <c r="G83" s="12">
        <v>2100</v>
      </c>
      <c r="H83" s="12">
        <v>4800</v>
      </c>
      <c r="I83" s="13">
        <f t="shared" si="0"/>
        <v>1271</v>
      </c>
    </row>
    <row r="84" spans="1:9" ht="30" x14ac:dyDescent="0.25">
      <c r="A84" s="8">
        <v>4</v>
      </c>
      <c r="B84" s="9" t="s">
        <v>566</v>
      </c>
      <c r="C84" s="9" t="s">
        <v>567</v>
      </c>
      <c r="D84" s="9" t="s">
        <v>568</v>
      </c>
      <c r="E84" s="12">
        <v>200</v>
      </c>
      <c r="F84" s="12">
        <v>420</v>
      </c>
      <c r="G84" s="12">
        <v>1600</v>
      </c>
      <c r="H84" s="12">
        <v>3500</v>
      </c>
      <c r="I84" s="13">
        <f t="shared" si="0"/>
        <v>1650</v>
      </c>
    </row>
    <row r="85" spans="1:9" ht="30" x14ac:dyDescent="0.25">
      <c r="A85" s="8">
        <v>5</v>
      </c>
      <c r="B85" s="9" t="s">
        <v>569</v>
      </c>
      <c r="C85" s="9" t="s">
        <v>570</v>
      </c>
      <c r="D85" s="9" t="s">
        <v>571</v>
      </c>
      <c r="E85" s="12">
        <v>80</v>
      </c>
      <c r="F85" s="12">
        <v>140</v>
      </c>
      <c r="G85" s="12">
        <v>520</v>
      </c>
      <c r="H85" s="12">
        <v>1200</v>
      </c>
      <c r="I85" s="13">
        <f t="shared" si="0"/>
        <v>1400</v>
      </c>
    </row>
    <row r="86" spans="1:9" ht="30" x14ac:dyDescent="0.25">
      <c r="A86" s="8">
        <v>6</v>
      </c>
      <c r="B86" s="9" t="s">
        <v>572</v>
      </c>
      <c r="C86" s="9" t="s">
        <v>573</v>
      </c>
      <c r="D86" s="9" t="s">
        <v>574</v>
      </c>
      <c r="E86" s="12">
        <v>400</v>
      </c>
      <c r="F86" s="12">
        <v>750</v>
      </c>
      <c r="G86" s="12">
        <v>2800</v>
      </c>
      <c r="H86" s="12">
        <v>6200</v>
      </c>
      <c r="I86" s="13">
        <f t="shared" si="0"/>
        <v>1450</v>
      </c>
    </row>
    <row r="87" spans="1:9" x14ac:dyDescent="0.25">
      <c r="A87" s="8">
        <v>7</v>
      </c>
      <c r="B87" s="9" t="s">
        <v>575</v>
      </c>
      <c r="C87" s="9" t="s">
        <v>576</v>
      </c>
      <c r="D87" s="9" t="s">
        <v>577</v>
      </c>
      <c r="E87" s="12">
        <v>150</v>
      </c>
      <c r="F87" s="12">
        <v>200</v>
      </c>
      <c r="G87" s="12">
        <v>750</v>
      </c>
      <c r="H87" s="12">
        <v>1700</v>
      </c>
      <c r="I87" s="13">
        <f t="shared" si="0"/>
        <v>1033</v>
      </c>
    </row>
    <row r="88" spans="1:9" ht="30" x14ac:dyDescent="0.25">
      <c r="A88" s="8">
        <v>8</v>
      </c>
      <c r="B88" s="9" t="s">
        <v>578</v>
      </c>
      <c r="C88" s="9" t="s">
        <v>579</v>
      </c>
      <c r="D88" s="9" t="s">
        <v>580</v>
      </c>
      <c r="E88" s="12">
        <v>60</v>
      </c>
      <c r="F88" s="12">
        <v>90</v>
      </c>
      <c r="G88" s="12">
        <v>350</v>
      </c>
      <c r="H88" s="12">
        <v>850</v>
      </c>
      <c r="I88" s="13">
        <f t="shared" si="0"/>
        <v>1317</v>
      </c>
    </row>
    <row r="89" spans="1:9" ht="30" x14ac:dyDescent="0.25">
      <c r="A89" s="8">
        <v>9</v>
      </c>
      <c r="B89" s="9" t="s">
        <v>581</v>
      </c>
      <c r="C89" s="9" t="s">
        <v>582</v>
      </c>
      <c r="D89" s="9" t="s">
        <v>583</v>
      </c>
      <c r="E89" s="12">
        <v>70</v>
      </c>
      <c r="F89" s="12">
        <v>180</v>
      </c>
      <c r="G89" s="12">
        <v>650</v>
      </c>
      <c r="H89" s="12">
        <v>1500</v>
      </c>
      <c r="I89" s="13">
        <f t="shared" si="0"/>
        <v>2043</v>
      </c>
    </row>
    <row r="90" spans="1:9" ht="30" x14ac:dyDescent="0.25">
      <c r="A90" s="8">
        <v>10</v>
      </c>
      <c r="B90" s="9" t="s">
        <v>584</v>
      </c>
      <c r="C90" s="9" t="s">
        <v>585</v>
      </c>
      <c r="D90" s="9" t="s">
        <v>586</v>
      </c>
      <c r="E90" s="12">
        <v>50</v>
      </c>
      <c r="F90" s="12">
        <v>120</v>
      </c>
      <c r="G90" s="12">
        <v>450</v>
      </c>
      <c r="H90" s="12">
        <v>1050</v>
      </c>
      <c r="I90" s="13">
        <f t="shared" si="0"/>
        <v>2000</v>
      </c>
    </row>
    <row r="91" spans="1:9" ht="30" x14ac:dyDescent="0.25">
      <c r="A91" s="8">
        <v>11</v>
      </c>
      <c r="B91" s="9" t="s">
        <v>587</v>
      </c>
      <c r="C91" s="9" t="s">
        <v>588</v>
      </c>
      <c r="D91" s="9" t="s">
        <v>589</v>
      </c>
      <c r="E91" s="12">
        <v>300</v>
      </c>
      <c r="F91" s="12">
        <v>520</v>
      </c>
      <c r="G91" s="12">
        <v>1900</v>
      </c>
      <c r="H91" s="12">
        <v>4200</v>
      </c>
      <c r="I91" s="13">
        <f t="shared" si="0"/>
        <v>1300</v>
      </c>
    </row>
    <row r="92" spans="1:9" ht="30" x14ac:dyDescent="0.25">
      <c r="A92" s="8">
        <v>12</v>
      </c>
      <c r="B92" s="9" t="s">
        <v>590</v>
      </c>
      <c r="C92" s="9" t="s">
        <v>591</v>
      </c>
      <c r="D92" s="9" t="s">
        <v>592</v>
      </c>
      <c r="E92" s="12">
        <v>180</v>
      </c>
      <c r="F92" s="12">
        <v>320</v>
      </c>
      <c r="G92" s="12">
        <v>1200</v>
      </c>
      <c r="H92" s="12">
        <v>2700</v>
      </c>
      <c r="I92" s="13">
        <f t="shared" si="0"/>
        <v>1400</v>
      </c>
    </row>
    <row r="93" spans="1:9" ht="30" x14ac:dyDescent="0.25">
      <c r="A93" s="8">
        <v>13</v>
      </c>
      <c r="B93" s="9" t="s">
        <v>593</v>
      </c>
      <c r="C93" s="9" t="s">
        <v>594</v>
      </c>
      <c r="D93" s="9" t="s">
        <v>595</v>
      </c>
      <c r="E93" s="12">
        <v>250</v>
      </c>
      <c r="F93" s="12">
        <v>480</v>
      </c>
      <c r="G93" s="12">
        <v>1750</v>
      </c>
      <c r="H93" s="12">
        <v>3800</v>
      </c>
      <c r="I93" s="13">
        <f t="shared" si="0"/>
        <v>1420</v>
      </c>
    </row>
    <row r="94" spans="1:9" ht="30" x14ac:dyDescent="0.25">
      <c r="A94" s="8">
        <v>14</v>
      </c>
      <c r="B94" s="9" t="s">
        <v>596</v>
      </c>
      <c r="C94" s="9" t="s">
        <v>597</v>
      </c>
      <c r="D94" s="9" t="s">
        <v>598</v>
      </c>
      <c r="E94" s="12">
        <v>600</v>
      </c>
      <c r="F94" s="12">
        <v>950</v>
      </c>
      <c r="G94" s="12">
        <v>3500</v>
      </c>
      <c r="H94" s="12">
        <v>7800</v>
      </c>
      <c r="I94" s="13">
        <f t="shared" si="0"/>
        <v>1200</v>
      </c>
    </row>
    <row r="95" spans="1:9" ht="30" x14ac:dyDescent="0.25">
      <c r="A95" s="8">
        <v>15</v>
      </c>
      <c r="B95" s="9" t="s">
        <v>599</v>
      </c>
      <c r="C95" s="9" t="s">
        <v>600</v>
      </c>
      <c r="D95" s="9" t="s">
        <v>601</v>
      </c>
      <c r="E95" s="12">
        <v>800</v>
      </c>
      <c r="F95" s="12">
        <v>400</v>
      </c>
      <c r="G95" s="12">
        <v>2500</v>
      </c>
      <c r="H95" s="12">
        <v>12000</v>
      </c>
      <c r="I95" s="13">
        <f t="shared" si="0"/>
        <v>1400</v>
      </c>
    </row>
    <row r="96" spans="1:9" ht="30" x14ac:dyDescent="0.25">
      <c r="A96" s="8">
        <v>16</v>
      </c>
      <c r="B96" s="9" t="s">
        <v>602</v>
      </c>
      <c r="C96" s="9" t="s">
        <v>603</v>
      </c>
      <c r="D96" s="9" t="s">
        <v>604</v>
      </c>
      <c r="E96" s="12">
        <v>40</v>
      </c>
      <c r="F96" s="12">
        <v>150</v>
      </c>
      <c r="G96" s="12">
        <v>550</v>
      </c>
      <c r="H96" s="12">
        <v>1200</v>
      </c>
      <c r="I96" s="13">
        <f t="shared" si="0"/>
        <v>2900</v>
      </c>
    </row>
    <row r="97" spans="1:9" ht="30" x14ac:dyDescent="0.25">
      <c r="A97" s="8">
        <v>17</v>
      </c>
      <c r="B97" s="9" t="s">
        <v>605</v>
      </c>
      <c r="C97" s="9" t="s">
        <v>606</v>
      </c>
      <c r="D97" s="9" t="s">
        <v>607</v>
      </c>
      <c r="E97" s="12">
        <v>90</v>
      </c>
      <c r="F97" s="12">
        <v>170</v>
      </c>
      <c r="G97" s="12">
        <v>620</v>
      </c>
      <c r="H97" s="12">
        <v>1400</v>
      </c>
      <c r="I97" s="13">
        <f t="shared" si="0"/>
        <v>1456</v>
      </c>
    </row>
    <row r="98" spans="1:9" ht="30" x14ac:dyDescent="0.25">
      <c r="A98" s="8">
        <v>18</v>
      </c>
      <c r="B98" s="9" t="s">
        <v>608</v>
      </c>
      <c r="C98" s="9" t="s">
        <v>609</v>
      </c>
      <c r="D98" s="9" t="s">
        <v>610</v>
      </c>
      <c r="E98" s="12">
        <v>160</v>
      </c>
      <c r="F98" s="12">
        <v>280</v>
      </c>
      <c r="G98" s="12">
        <v>1050</v>
      </c>
      <c r="H98" s="12">
        <v>2300</v>
      </c>
      <c r="I98" s="13">
        <f t="shared" si="0"/>
        <v>1338</v>
      </c>
    </row>
    <row r="99" spans="1:9" ht="30" x14ac:dyDescent="0.25">
      <c r="A99" s="8">
        <v>19</v>
      </c>
      <c r="B99" s="9" t="s">
        <v>611</v>
      </c>
      <c r="C99" s="9" t="s">
        <v>612</v>
      </c>
      <c r="D99" s="9" t="s">
        <v>613</v>
      </c>
      <c r="E99" s="12">
        <v>700</v>
      </c>
      <c r="F99" s="12">
        <v>1100</v>
      </c>
      <c r="G99" s="12">
        <v>4200</v>
      </c>
      <c r="H99" s="12">
        <v>9500</v>
      </c>
      <c r="I99" s="13">
        <f t="shared" si="0"/>
        <v>1257</v>
      </c>
    </row>
    <row r="100" spans="1:9" ht="30" x14ac:dyDescent="0.25">
      <c r="A100" s="8">
        <v>20</v>
      </c>
      <c r="B100" s="9" t="s">
        <v>614</v>
      </c>
      <c r="C100" s="9" t="s">
        <v>615</v>
      </c>
      <c r="D100" s="9" t="s">
        <v>616</v>
      </c>
      <c r="E100" s="12">
        <v>70</v>
      </c>
      <c r="F100" s="12">
        <v>110</v>
      </c>
      <c r="G100" s="12">
        <v>420</v>
      </c>
      <c r="H100" s="12">
        <v>950</v>
      </c>
      <c r="I100" s="13">
        <f t="shared" si="0"/>
        <v>1257</v>
      </c>
    </row>
    <row r="101" spans="1:9" ht="30" x14ac:dyDescent="0.25">
      <c r="A101" s="8">
        <v>21</v>
      </c>
      <c r="B101" s="9" t="s">
        <v>617</v>
      </c>
      <c r="C101" s="9" t="s">
        <v>618</v>
      </c>
      <c r="D101" s="9" t="s">
        <v>619</v>
      </c>
      <c r="E101" s="12">
        <v>55</v>
      </c>
      <c r="F101" s="12">
        <v>130</v>
      </c>
      <c r="G101" s="12">
        <v>480</v>
      </c>
      <c r="H101" s="12">
        <v>1100</v>
      </c>
      <c r="I101" s="13">
        <f t="shared" si="0"/>
        <v>1900</v>
      </c>
    </row>
    <row r="102" spans="1:9" ht="30" x14ac:dyDescent="0.25">
      <c r="A102" s="8">
        <v>22</v>
      </c>
      <c r="B102" s="9" t="s">
        <v>620</v>
      </c>
      <c r="C102" s="9" t="s">
        <v>621</v>
      </c>
      <c r="D102" s="9" t="s">
        <v>622</v>
      </c>
      <c r="E102" s="12">
        <v>220</v>
      </c>
      <c r="F102" s="12">
        <v>380</v>
      </c>
      <c r="G102" s="12">
        <v>1400</v>
      </c>
      <c r="H102" s="12">
        <v>3100</v>
      </c>
      <c r="I102" s="13">
        <f t="shared" si="0"/>
        <v>1309</v>
      </c>
    </row>
    <row r="103" spans="1:9" ht="30" x14ac:dyDescent="0.25">
      <c r="A103" s="8">
        <v>23</v>
      </c>
      <c r="B103" s="9" t="s">
        <v>623</v>
      </c>
      <c r="C103" s="9" t="s">
        <v>624</v>
      </c>
      <c r="D103" s="9" t="s">
        <v>625</v>
      </c>
      <c r="E103" s="12">
        <v>100</v>
      </c>
      <c r="F103" s="12">
        <v>180</v>
      </c>
      <c r="G103" s="12">
        <v>680</v>
      </c>
      <c r="H103" s="12">
        <v>1550</v>
      </c>
      <c r="I103" s="13">
        <f t="shared" si="0"/>
        <v>1450</v>
      </c>
    </row>
    <row r="104" spans="1:9" ht="30" x14ac:dyDescent="0.25">
      <c r="A104" s="8">
        <v>24</v>
      </c>
      <c r="B104" s="9" t="s">
        <v>626</v>
      </c>
      <c r="C104" s="9" t="s">
        <v>627</v>
      </c>
      <c r="D104" s="9" t="s">
        <v>628</v>
      </c>
      <c r="E104" s="12">
        <v>90</v>
      </c>
      <c r="F104" s="12">
        <v>160</v>
      </c>
      <c r="G104" s="12">
        <v>590</v>
      </c>
      <c r="H104" s="12">
        <v>1350</v>
      </c>
      <c r="I104" s="13">
        <f t="shared" si="0"/>
        <v>1400</v>
      </c>
    </row>
    <row r="105" spans="1:9" ht="30" x14ac:dyDescent="0.25">
      <c r="A105" s="8">
        <v>25</v>
      </c>
      <c r="B105" s="9" t="s">
        <v>629</v>
      </c>
      <c r="C105" s="9" t="s">
        <v>630</v>
      </c>
      <c r="D105" s="9" t="s">
        <v>631</v>
      </c>
      <c r="E105" s="12">
        <v>450</v>
      </c>
      <c r="F105" s="12">
        <v>780</v>
      </c>
      <c r="G105" s="12">
        <v>2900</v>
      </c>
      <c r="H105" s="12">
        <v>6400</v>
      </c>
      <c r="I105" s="13">
        <f t="shared" si="0"/>
        <v>1322</v>
      </c>
    </row>
    <row r="106" spans="1:9" ht="30" x14ac:dyDescent="0.25">
      <c r="A106" s="8">
        <v>26</v>
      </c>
      <c r="B106" s="9" t="s">
        <v>632</v>
      </c>
      <c r="C106" s="9" t="s">
        <v>633</v>
      </c>
      <c r="D106" s="9" t="s">
        <v>634</v>
      </c>
      <c r="E106" s="12">
        <v>500</v>
      </c>
      <c r="F106" s="12">
        <v>820</v>
      </c>
      <c r="G106" s="12">
        <v>3000</v>
      </c>
      <c r="H106" s="12">
        <v>6500</v>
      </c>
      <c r="I106" s="13">
        <f t="shared" si="0"/>
        <v>1200</v>
      </c>
    </row>
    <row r="107" spans="1:9" ht="30" x14ac:dyDescent="0.25">
      <c r="A107" s="8">
        <v>27</v>
      </c>
      <c r="B107" s="9" t="s">
        <v>635</v>
      </c>
      <c r="C107" s="9" t="s">
        <v>636</v>
      </c>
      <c r="D107" s="9" t="s">
        <v>637</v>
      </c>
      <c r="E107" s="12">
        <v>380</v>
      </c>
      <c r="F107" s="12">
        <v>620</v>
      </c>
      <c r="G107" s="12">
        <v>2300</v>
      </c>
      <c r="H107" s="12">
        <v>5100</v>
      </c>
      <c r="I107" s="13">
        <f t="shared" si="0"/>
        <v>1242</v>
      </c>
    </row>
    <row r="108" spans="1:9" ht="30" x14ac:dyDescent="0.25">
      <c r="A108" s="8">
        <v>28</v>
      </c>
      <c r="B108" s="9" t="s">
        <v>638</v>
      </c>
      <c r="C108" s="9" t="s">
        <v>639</v>
      </c>
      <c r="D108" s="9" t="s">
        <v>640</v>
      </c>
      <c r="E108" s="12">
        <v>100</v>
      </c>
      <c r="F108" s="12">
        <v>150</v>
      </c>
      <c r="G108" s="12">
        <v>560</v>
      </c>
      <c r="H108" s="12">
        <v>1300</v>
      </c>
      <c r="I108" s="13">
        <f t="shared" si="0"/>
        <v>1200</v>
      </c>
    </row>
    <row r="109" spans="1:9" ht="30" x14ac:dyDescent="0.25">
      <c r="A109" s="8">
        <v>29</v>
      </c>
      <c r="B109" s="9" t="s">
        <v>641</v>
      </c>
      <c r="C109" s="9" t="s">
        <v>642</v>
      </c>
      <c r="D109" s="9" t="s">
        <v>643</v>
      </c>
      <c r="E109" s="12">
        <v>200</v>
      </c>
      <c r="F109" s="12">
        <v>350</v>
      </c>
      <c r="G109" s="12">
        <v>1300</v>
      </c>
      <c r="H109" s="12">
        <v>2900</v>
      </c>
      <c r="I109" s="13">
        <f t="shared" si="0"/>
        <v>1350</v>
      </c>
    </row>
    <row r="110" spans="1:9" ht="30" x14ac:dyDescent="0.25">
      <c r="A110" s="8">
        <v>30</v>
      </c>
      <c r="B110" s="9" t="s">
        <v>644</v>
      </c>
      <c r="C110" s="9" t="s">
        <v>645</v>
      </c>
      <c r="D110" s="9" t="s">
        <v>646</v>
      </c>
      <c r="E110" s="12">
        <v>45</v>
      </c>
      <c r="F110" s="12">
        <v>80</v>
      </c>
      <c r="G110" s="12">
        <v>310</v>
      </c>
      <c r="H110" s="12">
        <v>720</v>
      </c>
      <c r="I110" s="13">
        <f t="shared" si="0"/>
        <v>1500</v>
      </c>
    </row>
    <row r="111" spans="1:9" ht="30" x14ac:dyDescent="0.25">
      <c r="A111" s="8">
        <v>31</v>
      </c>
      <c r="B111" s="9" t="s">
        <v>647</v>
      </c>
      <c r="C111" s="9" t="s">
        <v>648</v>
      </c>
      <c r="D111" s="9" t="s">
        <v>649</v>
      </c>
      <c r="E111" s="12">
        <v>120</v>
      </c>
      <c r="F111" s="12">
        <v>230</v>
      </c>
      <c r="G111" s="12">
        <v>870</v>
      </c>
      <c r="H111" s="12">
        <v>1950</v>
      </c>
      <c r="I111" s="13">
        <f t="shared" si="0"/>
        <v>1525</v>
      </c>
    </row>
    <row r="112" spans="1:9" ht="30" x14ac:dyDescent="0.25">
      <c r="A112" s="8">
        <v>32</v>
      </c>
      <c r="B112" s="9" t="s">
        <v>650</v>
      </c>
      <c r="C112" s="9" t="s">
        <v>651</v>
      </c>
      <c r="D112" s="9" t="s">
        <v>652</v>
      </c>
      <c r="E112" s="12">
        <v>65</v>
      </c>
      <c r="F112" s="12">
        <v>100</v>
      </c>
      <c r="G112" s="12">
        <v>380</v>
      </c>
      <c r="H112" s="12">
        <v>900</v>
      </c>
      <c r="I112" s="13">
        <f t="shared" si="0"/>
        <v>1285</v>
      </c>
    </row>
    <row r="113" spans="1:9" ht="30" x14ac:dyDescent="0.25">
      <c r="A113" s="8">
        <v>33</v>
      </c>
      <c r="B113" s="9" t="s">
        <v>653</v>
      </c>
      <c r="C113" s="9" t="s">
        <v>654</v>
      </c>
      <c r="D113" s="9" t="s">
        <v>655</v>
      </c>
      <c r="E113" s="12">
        <v>80</v>
      </c>
      <c r="F113" s="12">
        <v>140</v>
      </c>
      <c r="G113" s="12">
        <v>520</v>
      </c>
      <c r="H113" s="12">
        <v>1180</v>
      </c>
      <c r="I113" s="13">
        <f t="shared" ref="I113:I131" si="1">ROUND((H113-E113)/E113*100,0)</f>
        <v>1375</v>
      </c>
    </row>
    <row r="114" spans="1:9" ht="30" x14ac:dyDescent="0.25">
      <c r="A114" s="8">
        <v>34</v>
      </c>
      <c r="B114" s="9" t="s">
        <v>656</v>
      </c>
      <c r="C114" s="9" t="s">
        <v>657</v>
      </c>
      <c r="D114" s="9" t="s">
        <v>658</v>
      </c>
      <c r="E114" s="12">
        <v>130</v>
      </c>
      <c r="F114" s="12">
        <v>0</v>
      </c>
      <c r="G114" s="12">
        <v>200</v>
      </c>
      <c r="H114" s="12">
        <v>600</v>
      </c>
      <c r="I114" s="13">
        <f t="shared" si="1"/>
        <v>362</v>
      </c>
    </row>
    <row r="115" spans="1:9" ht="30" x14ac:dyDescent="0.25">
      <c r="A115" s="8">
        <v>35</v>
      </c>
      <c r="B115" s="9" t="s">
        <v>659</v>
      </c>
      <c r="C115" s="9" t="s">
        <v>660</v>
      </c>
      <c r="D115" s="9" t="s">
        <v>661</v>
      </c>
      <c r="E115" s="12">
        <v>50</v>
      </c>
      <c r="F115" s="12">
        <v>90</v>
      </c>
      <c r="G115" s="12">
        <v>340</v>
      </c>
      <c r="H115" s="12">
        <v>780</v>
      </c>
      <c r="I115" s="13">
        <f t="shared" si="1"/>
        <v>1460</v>
      </c>
    </row>
    <row r="116" spans="1:9" ht="30" x14ac:dyDescent="0.25">
      <c r="A116" s="8">
        <v>36</v>
      </c>
      <c r="B116" s="9" t="s">
        <v>662</v>
      </c>
      <c r="C116" s="9" t="s">
        <v>663</v>
      </c>
      <c r="D116" s="9" t="s">
        <v>664</v>
      </c>
      <c r="E116" s="12">
        <v>35</v>
      </c>
      <c r="F116" s="12">
        <v>70</v>
      </c>
      <c r="G116" s="12">
        <v>270</v>
      </c>
      <c r="H116" s="12">
        <v>620</v>
      </c>
      <c r="I116" s="13">
        <f t="shared" si="1"/>
        <v>1671</v>
      </c>
    </row>
    <row r="117" spans="1:9" ht="30" x14ac:dyDescent="0.25">
      <c r="A117" s="8">
        <v>37</v>
      </c>
      <c r="B117" s="9" t="s">
        <v>665</v>
      </c>
      <c r="C117" s="9" t="s">
        <v>666</v>
      </c>
      <c r="D117" s="9" t="s">
        <v>667</v>
      </c>
      <c r="E117" s="12">
        <v>45</v>
      </c>
      <c r="F117" s="12">
        <v>75</v>
      </c>
      <c r="G117" s="12">
        <v>285</v>
      </c>
      <c r="H117" s="12">
        <v>650</v>
      </c>
      <c r="I117" s="13">
        <f t="shared" si="1"/>
        <v>1344</v>
      </c>
    </row>
    <row r="118" spans="1:9" ht="30" x14ac:dyDescent="0.25">
      <c r="A118" s="8">
        <v>38</v>
      </c>
      <c r="B118" s="9" t="s">
        <v>668</v>
      </c>
      <c r="C118" s="9" t="s">
        <v>669</v>
      </c>
      <c r="D118" s="9" t="s">
        <v>670</v>
      </c>
      <c r="E118" s="12">
        <v>300</v>
      </c>
      <c r="F118" s="12">
        <v>600</v>
      </c>
      <c r="G118" s="12">
        <v>2200</v>
      </c>
      <c r="H118" s="12">
        <v>4900</v>
      </c>
      <c r="I118" s="13">
        <f t="shared" si="1"/>
        <v>1533</v>
      </c>
    </row>
    <row r="119" spans="1:9" ht="30" x14ac:dyDescent="0.25">
      <c r="A119" s="8">
        <v>39</v>
      </c>
      <c r="B119" s="9" t="s">
        <v>671</v>
      </c>
      <c r="C119" s="9" t="s">
        <v>672</v>
      </c>
      <c r="D119" s="9" t="s">
        <v>673</v>
      </c>
      <c r="E119" s="12">
        <v>35</v>
      </c>
      <c r="F119" s="12">
        <v>60</v>
      </c>
      <c r="G119" s="12">
        <v>230</v>
      </c>
      <c r="H119" s="12">
        <v>540</v>
      </c>
      <c r="I119" s="13">
        <f t="shared" si="1"/>
        <v>1443</v>
      </c>
    </row>
    <row r="120" spans="1:9" ht="30" x14ac:dyDescent="0.25">
      <c r="A120" s="8">
        <v>40</v>
      </c>
      <c r="B120" s="9" t="s">
        <v>674</v>
      </c>
      <c r="C120" s="9" t="s">
        <v>675</v>
      </c>
      <c r="D120" s="9" t="s">
        <v>676</v>
      </c>
      <c r="E120" s="12">
        <v>150</v>
      </c>
      <c r="F120" s="12">
        <v>200</v>
      </c>
      <c r="G120" s="12">
        <v>750</v>
      </c>
      <c r="H120" s="12">
        <v>1700</v>
      </c>
      <c r="I120" s="13">
        <f t="shared" si="1"/>
        <v>1033</v>
      </c>
    </row>
    <row r="121" spans="1:9" ht="30" x14ac:dyDescent="0.25">
      <c r="A121" s="8">
        <v>41</v>
      </c>
      <c r="B121" s="9" t="s">
        <v>677</v>
      </c>
      <c r="C121" s="9" t="s">
        <v>678</v>
      </c>
      <c r="D121" s="9" t="s">
        <v>679</v>
      </c>
      <c r="E121" s="12">
        <v>30</v>
      </c>
      <c r="F121" s="12">
        <v>90</v>
      </c>
      <c r="G121" s="12">
        <v>340</v>
      </c>
      <c r="H121" s="12">
        <v>760</v>
      </c>
      <c r="I121" s="13">
        <f t="shared" si="1"/>
        <v>2433</v>
      </c>
    </row>
    <row r="122" spans="1:9" ht="30" x14ac:dyDescent="0.25">
      <c r="A122" s="8">
        <v>42</v>
      </c>
      <c r="B122" s="9" t="s">
        <v>680</v>
      </c>
      <c r="C122" s="9" t="s">
        <v>681</v>
      </c>
      <c r="D122" s="9" t="s">
        <v>682</v>
      </c>
      <c r="E122" s="12">
        <v>40</v>
      </c>
      <c r="F122" s="12">
        <v>80</v>
      </c>
      <c r="G122" s="12">
        <v>310</v>
      </c>
      <c r="H122" s="12">
        <v>710</v>
      </c>
      <c r="I122" s="13">
        <f t="shared" si="1"/>
        <v>1675</v>
      </c>
    </row>
    <row r="123" spans="1:9" ht="30" x14ac:dyDescent="0.25">
      <c r="A123" s="8">
        <v>43</v>
      </c>
      <c r="B123" s="9" t="s">
        <v>683</v>
      </c>
      <c r="C123" s="9" t="s">
        <v>684</v>
      </c>
      <c r="D123" s="9" t="s">
        <v>685</v>
      </c>
      <c r="E123" s="12">
        <v>60</v>
      </c>
      <c r="F123" s="12">
        <v>140</v>
      </c>
      <c r="G123" s="12">
        <v>520</v>
      </c>
      <c r="H123" s="12">
        <v>1200</v>
      </c>
      <c r="I123" s="13">
        <f t="shared" si="1"/>
        <v>1900</v>
      </c>
    </row>
    <row r="124" spans="1:9" ht="30" x14ac:dyDescent="0.25">
      <c r="A124" s="8">
        <v>44</v>
      </c>
      <c r="B124" s="9" t="s">
        <v>686</v>
      </c>
      <c r="C124" s="9" t="s">
        <v>687</v>
      </c>
      <c r="D124" s="9" t="s">
        <v>688</v>
      </c>
      <c r="E124" s="12">
        <v>90</v>
      </c>
      <c r="F124" s="12">
        <v>200</v>
      </c>
      <c r="G124" s="12">
        <v>760</v>
      </c>
      <c r="H124" s="12">
        <v>1720</v>
      </c>
      <c r="I124" s="13">
        <f t="shared" si="1"/>
        <v>1811</v>
      </c>
    </row>
    <row r="125" spans="1:9" ht="30" x14ac:dyDescent="0.25">
      <c r="A125" s="8">
        <v>45</v>
      </c>
      <c r="B125" s="9" t="s">
        <v>689</v>
      </c>
      <c r="C125" s="9" t="s">
        <v>690</v>
      </c>
      <c r="D125" s="9" t="s">
        <v>691</v>
      </c>
      <c r="E125" s="12">
        <v>250</v>
      </c>
      <c r="F125" s="12">
        <v>400</v>
      </c>
      <c r="G125" s="12">
        <v>1500</v>
      </c>
      <c r="H125" s="12">
        <v>3400</v>
      </c>
      <c r="I125" s="13">
        <f t="shared" si="1"/>
        <v>1260</v>
      </c>
    </row>
    <row r="126" spans="1:9" ht="30" x14ac:dyDescent="0.25">
      <c r="A126" s="8">
        <v>46</v>
      </c>
      <c r="B126" s="9" t="s">
        <v>692</v>
      </c>
      <c r="C126" s="9" t="s">
        <v>693</v>
      </c>
      <c r="D126" s="9" t="s">
        <v>694</v>
      </c>
      <c r="E126" s="12">
        <v>40</v>
      </c>
      <c r="F126" s="12">
        <v>85</v>
      </c>
      <c r="G126" s="12">
        <v>320</v>
      </c>
      <c r="H126" s="12">
        <v>730</v>
      </c>
      <c r="I126" s="13">
        <f t="shared" si="1"/>
        <v>1725</v>
      </c>
    </row>
    <row r="127" spans="1:9" ht="30" x14ac:dyDescent="0.25">
      <c r="A127" s="8">
        <v>47</v>
      </c>
      <c r="B127" s="9" t="s">
        <v>695</v>
      </c>
      <c r="C127" s="9" t="s">
        <v>696</v>
      </c>
      <c r="D127" s="9" t="s">
        <v>697</v>
      </c>
      <c r="E127" s="12">
        <v>90</v>
      </c>
      <c r="F127" s="12">
        <v>150</v>
      </c>
      <c r="G127" s="12">
        <v>560</v>
      </c>
      <c r="H127" s="12">
        <v>1260</v>
      </c>
      <c r="I127" s="13">
        <f t="shared" si="1"/>
        <v>1300</v>
      </c>
    </row>
    <row r="128" spans="1:9" ht="30" x14ac:dyDescent="0.25">
      <c r="A128" s="8">
        <v>48</v>
      </c>
      <c r="B128" s="9" t="s">
        <v>698</v>
      </c>
      <c r="C128" s="9" t="s">
        <v>699</v>
      </c>
      <c r="D128" s="9" t="s">
        <v>700</v>
      </c>
      <c r="E128" s="12">
        <v>55</v>
      </c>
      <c r="F128" s="12">
        <v>100</v>
      </c>
      <c r="G128" s="12">
        <v>380</v>
      </c>
      <c r="H128" s="12">
        <v>880</v>
      </c>
      <c r="I128" s="13">
        <f t="shared" si="1"/>
        <v>1500</v>
      </c>
    </row>
    <row r="129" spans="1:9" ht="30" x14ac:dyDescent="0.25">
      <c r="A129" s="8">
        <v>49</v>
      </c>
      <c r="B129" s="9" t="s">
        <v>701</v>
      </c>
      <c r="C129" s="9" t="s">
        <v>702</v>
      </c>
      <c r="D129" s="9" t="s">
        <v>703</v>
      </c>
      <c r="E129" s="12">
        <v>120</v>
      </c>
      <c r="F129" s="12">
        <v>200</v>
      </c>
      <c r="G129" s="12">
        <v>760</v>
      </c>
      <c r="H129" s="12">
        <v>1720</v>
      </c>
      <c r="I129" s="13">
        <f t="shared" si="1"/>
        <v>1333</v>
      </c>
    </row>
    <row r="130" spans="1:9" ht="30" x14ac:dyDescent="0.25">
      <c r="A130" s="8">
        <v>50</v>
      </c>
      <c r="B130" s="9" t="s">
        <v>704</v>
      </c>
      <c r="C130" s="9" t="s">
        <v>705</v>
      </c>
      <c r="D130" s="9" t="s">
        <v>706</v>
      </c>
      <c r="E130" s="12">
        <v>900</v>
      </c>
      <c r="F130" s="12">
        <v>1500</v>
      </c>
      <c r="G130" s="12">
        <v>5500</v>
      </c>
      <c r="H130" s="12">
        <v>12000</v>
      </c>
      <c r="I130" s="13">
        <f t="shared" si="1"/>
        <v>1233</v>
      </c>
    </row>
    <row r="131" spans="1:9" x14ac:dyDescent="0.25">
      <c r="A131" s="7" t="s">
        <v>707</v>
      </c>
      <c r="B131" s="7" t="s">
        <v>708</v>
      </c>
      <c r="C131" s="7" t="s">
        <v>709</v>
      </c>
      <c r="D131" s="7" t="s">
        <v>710</v>
      </c>
      <c r="E131" s="14">
        <f>SUM(E81:E130)</f>
        <v>9995</v>
      </c>
      <c r="F131" s="14">
        <f>SUM(F81:F130)</f>
        <v>16320</v>
      </c>
      <c r="G131" s="14">
        <f>SUM(G81:G130)</f>
        <v>61675</v>
      </c>
      <c r="H131" s="14">
        <f>SUM(H81:H130)</f>
        <v>144770</v>
      </c>
      <c r="I131" s="15">
        <f t="shared" si="1"/>
        <v>1348</v>
      </c>
    </row>
    <row r="132" spans="1:9" x14ac:dyDescent="0.25">
      <c r="A132" s="7" t="s">
        <v>711</v>
      </c>
      <c r="B132" s="9"/>
      <c r="C132" s="9"/>
      <c r="D132" s="9"/>
      <c r="E132" s="14">
        <f>ROUND(AVERAGE(E81:E130),0)</f>
        <v>200</v>
      </c>
      <c r="F132" s="14">
        <f>ROUND(AVERAGE(F81:F130),0)</f>
        <v>326</v>
      </c>
      <c r="G132" s="14">
        <f>ROUND(AVERAGE(G81:G130),0)</f>
        <v>1234</v>
      </c>
      <c r="H132" s="14">
        <f>ROUND(AVERAGE(H81:H130),0)</f>
        <v>2895</v>
      </c>
      <c r="I132" s="15">
        <f>ROUND(AVERAGE(I81:I130),0)</f>
        <v>1469</v>
      </c>
    </row>
    <row r="135" spans="1:9" ht="17.25" x14ac:dyDescent="0.25">
      <c r="A135" s="24" t="s">
        <v>712</v>
      </c>
      <c r="B135" s="24"/>
      <c r="C135" s="24"/>
      <c r="D135" s="24"/>
      <c r="E135" s="24"/>
      <c r="F135" s="24"/>
      <c r="G135" s="24"/>
      <c r="H135" s="24"/>
      <c r="I135" s="24"/>
    </row>
    <row r="136" spans="1:9" x14ac:dyDescent="0.25">
      <c r="A136" s="25" t="s">
        <v>713</v>
      </c>
      <c r="B136" s="25"/>
      <c r="C136" s="25"/>
      <c r="D136" s="25"/>
      <c r="E136" s="25"/>
      <c r="F136" s="25"/>
      <c r="G136" s="25"/>
      <c r="H136" s="25"/>
      <c r="I136" s="25"/>
    </row>
    <row r="137" spans="1:9" x14ac:dyDescent="0.25">
      <c r="A137" s="6" t="s">
        <v>155</v>
      </c>
      <c r="B137" s="7" t="s">
        <v>549</v>
      </c>
      <c r="C137" s="7" t="s">
        <v>714</v>
      </c>
      <c r="D137" s="7" t="s">
        <v>715</v>
      </c>
      <c r="E137" s="6" t="s">
        <v>552</v>
      </c>
      <c r="F137" s="6" t="s">
        <v>553</v>
      </c>
      <c r="G137" s="6" t="s">
        <v>716</v>
      </c>
      <c r="H137" s="6" t="s">
        <v>717</v>
      </c>
      <c r="I137" s="6" t="s">
        <v>556</v>
      </c>
    </row>
    <row r="138" spans="1:9" ht="45" x14ac:dyDescent="0.25">
      <c r="A138" s="8">
        <v>1</v>
      </c>
      <c r="B138" s="9" t="s">
        <v>718</v>
      </c>
      <c r="C138" s="9" t="s">
        <v>719</v>
      </c>
      <c r="D138" s="9" t="s">
        <v>720</v>
      </c>
      <c r="E138" s="12">
        <v>600</v>
      </c>
      <c r="F138" s="12">
        <v>1800</v>
      </c>
      <c r="G138" s="12">
        <v>7200</v>
      </c>
      <c r="H138" s="12">
        <v>16000</v>
      </c>
      <c r="I138" s="13">
        <f t="shared" ref="I138:I169" si="2">ROUND((H138-E138)/E138*100,0)</f>
        <v>2567</v>
      </c>
    </row>
    <row r="139" spans="1:9" ht="45" x14ac:dyDescent="0.25">
      <c r="A139" s="8">
        <v>2</v>
      </c>
      <c r="B139" s="9" t="s">
        <v>163</v>
      </c>
      <c r="C139" s="9" t="s">
        <v>721</v>
      </c>
      <c r="D139" s="9" t="s">
        <v>722</v>
      </c>
      <c r="E139" s="12">
        <v>2000</v>
      </c>
      <c r="F139" s="12">
        <v>800</v>
      </c>
      <c r="G139" s="12">
        <v>12000</v>
      </c>
      <c r="H139" s="12">
        <v>50000</v>
      </c>
      <c r="I139" s="13">
        <f t="shared" si="2"/>
        <v>2400</v>
      </c>
    </row>
    <row r="140" spans="1:9" ht="45" x14ac:dyDescent="0.25">
      <c r="A140" s="8">
        <v>3</v>
      </c>
      <c r="B140" s="9" t="s">
        <v>723</v>
      </c>
      <c r="C140" s="9" t="s">
        <v>724</v>
      </c>
      <c r="D140" s="9" t="s">
        <v>725</v>
      </c>
      <c r="E140" s="12">
        <v>400</v>
      </c>
      <c r="F140" s="12">
        <v>900</v>
      </c>
      <c r="G140" s="12">
        <v>3600</v>
      </c>
      <c r="H140" s="12">
        <v>8500</v>
      </c>
      <c r="I140" s="13">
        <f t="shared" si="2"/>
        <v>2025</v>
      </c>
    </row>
    <row r="141" spans="1:9" ht="30" x14ac:dyDescent="0.25">
      <c r="A141" s="8">
        <v>4</v>
      </c>
      <c r="B141" s="9" t="s">
        <v>726</v>
      </c>
      <c r="C141" s="9" t="s">
        <v>727</v>
      </c>
      <c r="D141" s="9" t="s">
        <v>728</v>
      </c>
      <c r="E141" s="12">
        <v>1500</v>
      </c>
      <c r="F141" s="12">
        <v>1200</v>
      </c>
      <c r="G141" s="12">
        <v>9500</v>
      </c>
      <c r="H141" s="12">
        <v>28000</v>
      </c>
      <c r="I141" s="13">
        <f t="shared" si="2"/>
        <v>1767</v>
      </c>
    </row>
    <row r="142" spans="1:9" ht="45" x14ac:dyDescent="0.25">
      <c r="A142" s="8">
        <v>5</v>
      </c>
      <c r="B142" s="9" t="s">
        <v>729</v>
      </c>
      <c r="C142" s="9" t="s">
        <v>730</v>
      </c>
      <c r="D142" s="9" t="s">
        <v>731</v>
      </c>
      <c r="E142" s="12">
        <v>2500</v>
      </c>
      <c r="F142" s="12">
        <v>800</v>
      </c>
      <c r="G142" s="12">
        <v>15000</v>
      </c>
      <c r="H142" s="12">
        <v>60000</v>
      </c>
      <c r="I142" s="13">
        <f t="shared" si="2"/>
        <v>2300</v>
      </c>
    </row>
    <row r="143" spans="1:9" ht="45" x14ac:dyDescent="0.25">
      <c r="A143" s="8">
        <v>6</v>
      </c>
      <c r="B143" s="9" t="s">
        <v>732</v>
      </c>
      <c r="C143" s="9" t="s">
        <v>733</v>
      </c>
      <c r="D143" s="9" t="s">
        <v>734</v>
      </c>
      <c r="E143" s="12">
        <v>500</v>
      </c>
      <c r="F143" s="12">
        <v>1400</v>
      </c>
      <c r="G143" s="12">
        <v>5800</v>
      </c>
      <c r="H143" s="12">
        <v>13000</v>
      </c>
      <c r="I143" s="13">
        <f t="shared" si="2"/>
        <v>2500</v>
      </c>
    </row>
    <row r="144" spans="1:9" ht="45" x14ac:dyDescent="0.25">
      <c r="A144" s="8">
        <v>7</v>
      </c>
      <c r="B144" s="9" t="s">
        <v>735</v>
      </c>
      <c r="C144" s="9" t="s">
        <v>736</v>
      </c>
      <c r="D144" s="9" t="s">
        <v>737</v>
      </c>
      <c r="E144" s="12">
        <v>800</v>
      </c>
      <c r="F144" s="12">
        <v>2000</v>
      </c>
      <c r="G144" s="12">
        <v>8500</v>
      </c>
      <c r="H144" s="12">
        <v>19000</v>
      </c>
      <c r="I144" s="13">
        <f t="shared" si="2"/>
        <v>2275</v>
      </c>
    </row>
    <row r="145" spans="1:9" ht="45" x14ac:dyDescent="0.25">
      <c r="A145" s="8">
        <v>8</v>
      </c>
      <c r="B145" s="9" t="s">
        <v>176</v>
      </c>
      <c r="C145" s="9" t="s">
        <v>738</v>
      </c>
      <c r="D145" s="9" t="s">
        <v>739</v>
      </c>
      <c r="E145" s="12">
        <v>700</v>
      </c>
      <c r="F145" s="12">
        <v>1100</v>
      </c>
      <c r="G145" s="12">
        <v>6000</v>
      </c>
      <c r="H145" s="12">
        <v>16500</v>
      </c>
      <c r="I145" s="13">
        <f t="shared" si="2"/>
        <v>2257</v>
      </c>
    </row>
    <row r="146" spans="1:9" ht="45" x14ac:dyDescent="0.25">
      <c r="A146" s="8">
        <v>9</v>
      </c>
      <c r="B146" s="9" t="s">
        <v>740</v>
      </c>
      <c r="C146" s="9" t="s">
        <v>741</v>
      </c>
      <c r="D146" s="9" t="s">
        <v>742</v>
      </c>
      <c r="E146" s="12">
        <v>600</v>
      </c>
      <c r="F146" s="12">
        <v>1500</v>
      </c>
      <c r="G146" s="12">
        <v>6500</v>
      </c>
      <c r="H146" s="12">
        <v>15000</v>
      </c>
      <c r="I146" s="13">
        <f t="shared" si="2"/>
        <v>2400</v>
      </c>
    </row>
    <row r="147" spans="1:9" ht="30" x14ac:dyDescent="0.25">
      <c r="A147" s="8">
        <v>10</v>
      </c>
      <c r="B147" s="9" t="s">
        <v>743</v>
      </c>
      <c r="C147" s="9" t="s">
        <v>744</v>
      </c>
      <c r="D147" s="9" t="s">
        <v>745</v>
      </c>
      <c r="E147" s="12">
        <v>900</v>
      </c>
      <c r="F147" s="12">
        <v>800</v>
      </c>
      <c r="G147" s="12">
        <v>7000</v>
      </c>
      <c r="H147" s="12">
        <v>22000</v>
      </c>
      <c r="I147" s="13">
        <f t="shared" si="2"/>
        <v>2344</v>
      </c>
    </row>
    <row r="148" spans="1:9" ht="45" x14ac:dyDescent="0.25">
      <c r="A148" s="8">
        <v>11</v>
      </c>
      <c r="B148" s="9" t="s">
        <v>746</v>
      </c>
      <c r="C148" s="9" t="s">
        <v>747</v>
      </c>
      <c r="D148" s="9" t="s">
        <v>748</v>
      </c>
      <c r="E148" s="12">
        <v>300</v>
      </c>
      <c r="F148" s="12">
        <v>900</v>
      </c>
      <c r="G148" s="12">
        <v>3800</v>
      </c>
      <c r="H148" s="12">
        <v>9000</v>
      </c>
      <c r="I148" s="13">
        <f t="shared" si="2"/>
        <v>2900</v>
      </c>
    </row>
    <row r="149" spans="1:9" ht="45" x14ac:dyDescent="0.25">
      <c r="A149" s="8">
        <v>12</v>
      </c>
      <c r="B149" s="9" t="s">
        <v>749</v>
      </c>
      <c r="C149" s="9" t="s">
        <v>750</v>
      </c>
      <c r="D149" s="9" t="s">
        <v>751</v>
      </c>
      <c r="E149" s="12">
        <v>400</v>
      </c>
      <c r="F149" s="12">
        <v>1100</v>
      </c>
      <c r="G149" s="12">
        <v>4500</v>
      </c>
      <c r="H149" s="12">
        <v>10500</v>
      </c>
      <c r="I149" s="13">
        <f t="shared" si="2"/>
        <v>2525</v>
      </c>
    </row>
    <row r="150" spans="1:9" ht="30" x14ac:dyDescent="0.25">
      <c r="A150" s="8">
        <v>13</v>
      </c>
      <c r="B150" s="9" t="s">
        <v>752</v>
      </c>
      <c r="C150" s="9" t="s">
        <v>753</v>
      </c>
      <c r="D150" s="9" t="s">
        <v>754</v>
      </c>
      <c r="E150" s="12">
        <v>180</v>
      </c>
      <c r="F150" s="12">
        <v>400</v>
      </c>
      <c r="G150" s="12">
        <v>1800</v>
      </c>
      <c r="H150" s="12">
        <v>4200</v>
      </c>
      <c r="I150" s="13">
        <f t="shared" si="2"/>
        <v>2233</v>
      </c>
    </row>
    <row r="151" spans="1:9" ht="30" x14ac:dyDescent="0.25">
      <c r="A151" s="8">
        <v>14</v>
      </c>
      <c r="B151" s="9" t="s">
        <v>566</v>
      </c>
      <c r="C151" s="9" t="s">
        <v>755</v>
      </c>
      <c r="D151" s="9" t="s">
        <v>756</v>
      </c>
      <c r="E151" s="12">
        <v>350</v>
      </c>
      <c r="F151" s="12">
        <v>900</v>
      </c>
      <c r="G151" s="12">
        <v>3500</v>
      </c>
      <c r="H151" s="12">
        <v>8000</v>
      </c>
      <c r="I151" s="13">
        <f t="shared" si="2"/>
        <v>2186</v>
      </c>
    </row>
    <row r="152" spans="1:9" ht="30" x14ac:dyDescent="0.25">
      <c r="A152" s="8">
        <v>15</v>
      </c>
      <c r="B152" s="9" t="s">
        <v>260</v>
      </c>
      <c r="C152" s="9" t="s">
        <v>757</v>
      </c>
      <c r="D152" s="9" t="s">
        <v>758</v>
      </c>
      <c r="E152" s="12">
        <v>250</v>
      </c>
      <c r="F152" s="12">
        <v>600</v>
      </c>
      <c r="G152" s="12">
        <v>2500</v>
      </c>
      <c r="H152" s="12">
        <v>6000</v>
      </c>
      <c r="I152" s="13">
        <f t="shared" si="2"/>
        <v>2300</v>
      </c>
    </row>
    <row r="153" spans="1:9" ht="30" x14ac:dyDescent="0.25">
      <c r="A153" s="8">
        <v>16</v>
      </c>
      <c r="B153" s="9" t="s">
        <v>611</v>
      </c>
      <c r="C153" s="9" t="s">
        <v>759</v>
      </c>
      <c r="D153" s="9" t="s">
        <v>760</v>
      </c>
      <c r="E153" s="12">
        <v>700</v>
      </c>
      <c r="F153" s="12">
        <v>1800</v>
      </c>
      <c r="G153" s="12">
        <v>7500</v>
      </c>
      <c r="H153" s="12">
        <v>17000</v>
      </c>
      <c r="I153" s="13">
        <f t="shared" si="2"/>
        <v>2329</v>
      </c>
    </row>
    <row r="154" spans="1:9" ht="45" x14ac:dyDescent="0.25">
      <c r="A154" s="8">
        <v>17</v>
      </c>
      <c r="B154" s="9" t="s">
        <v>761</v>
      </c>
      <c r="C154" s="9" t="s">
        <v>762</v>
      </c>
      <c r="D154" s="9" t="s">
        <v>763</v>
      </c>
      <c r="E154" s="12">
        <v>100</v>
      </c>
      <c r="F154" s="12">
        <v>280</v>
      </c>
      <c r="G154" s="12">
        <v>1200</v>
      </c>
      <c r="H154" s="12">
        <v>2800</v>
      </c>
      <c r="I154" s="13">
        <f t="shared" si="2"/>
        <v>2700</v>
      </c>
    </row>
    <row r="155" spans="1:9" ht="45" x14ac:dyDescent="0.25">
      <c r="A155" s="8">
        <v>18</v>
      </c>
      <c r="B155" s="9" t="s">
        <v>764</v>
      </c>
      <c r="C155" s="9" t="s">
        <v>765</v>
      </c>
      <c r="D155" s="9" t="s">
        <v>766</v>
      </c>
      <c r="E155" s="12">
        <v>3000</v>
      </c>
      <c r="F155" s="12">
        <v>500</v>
      </c>
      <c r="G155" s="12">
        <v>8000</v>
      </c>
      <c r="H155" s="12">
        <v>40000</v>
      </c>
      <c r="I155" s="13">
        <f t="shared" si="2"/>
        <v>1233</v>
      </c>
    </row>
    <row r="156" spans="1:9" ht="30" x14ac:dyDescent="0.25">
      <c r="A156" s="8">
        <v>19</v>
      </c>
      <c r="B156" s="9" t="s">
        <v>557</v>
      </c>
      <c r="C156" s="9" t="s">
        <v>767</v>
      </c>
      <c r="D156" s="9" t="s">
        <v>768</v>
      </c>
      <c r="E156" s="12">
        <v>200</v>
      </c>
      <c r="F156" s="12">
        <v>700</v>
      </c>
      <c r="G156" s="12">
        <v>3000</v>
      </c>
      <c r="H156" s="12">
        <v>7000</v>
      </c>
      <c r="I156" s="13">
        <f t="shared" si="2"/>
        <v>3400</v>
      </c>
    </row>
    <row r="157" spans="1:9" ht="30" x14ac:dyDescent="0.25">
      <c r="A157" s="8">
        <v>20</v>
      </c>
      <c r="B157" s="9" t="s">
        <v>635</v>
      </c>
      <c r="C157" s="9" t="s">
        <v>769</v>
      </c>
      <c r="D157" s="9" t="s">
        <v>770</v>
      </c>
      <c r="E157" s="12">
        <v>450</v>
      </c>
      <c r="F157" s="12">
        <v>1100</v>
      </c>
      <c r="G157" s="12">
        <v>4500</v>
      </c>
      <c r="H157" s="12">
        <v>10500</v>
      </c>
      <c r="I157" s="13">
        <f t="shared" si="2"/>
        <v>2233</v>
      </c>
    </row>
    <row r="158" spans="1:9" ht="45" x14ac:dyDescent="0.25">
      <c r="A158" s="8">
        <v>21</v>
      </c>
      <c r="B158" s="9" t="s">
        <v>771</v>
      </c>
      <c r="C158" s="9" t="s">
        <v>772</v>
      </c>
      <c r="D158" s="9" t="s">
        <v>773</v>
      </c>
      <c r="E158" s="12">
        <v>800</v>
      </c>
      <c r="F158" s="12">
        <v>1600</v>
      </c>
      <c r="G158" s="12">
        <v>6500</v>
      </c>
      <c r="H158" s="12">
        <v>14500</v>
      </c>
      <c r="I158" s="13">
        <f t="shared" si="2"/>
        <v>1713</v>
      </c>
    </row>
    <row r="159" spans="1:9" ht="30" x14ac:dyDescent="0.25">
      <c r="A159" s="8">
        <v>22</v>
      </c>
      <c r="B159" s="9" t="s">
        <v>641</v>
      </c>
      <c r="C159" s="9" t="s">
        <v>774</v>
      </c>
      <c r="D159" s="9" t="s">
        <v>775</v>
      </c>
      <c r="E159" s="12">
        <v>250</v>
      </c>
      <c r="F159" s="12">
        <v>700</v>
      </c>
      <c r="G159" s="12">
        <v>3000</v>
      </c>
      <c r="H159" s="12">
        <v>7000</v>
      </c>
      <c r="I159" s="13">
        <f t="shared" si="2"/>
        <v>2700</v>
      </c>
    </row>
    <row r="160" spans="1:9" ht="30" x14ac:dyDescent="0.25">
      <c r="A160" s="8">
        <v>23</v>
      </c>
      <c r="B160" s="9" t="s">
        <v>629</v>
      </c>
      <c r="C160" s="9" t="s">
        <v>776</v>
      </c>
      <c r="D160" s="9" t="s">
        <v>777</v>
      </c>
      <c r="E160" s="12">
        <v>600</v>
      </c>
      <c r="F160" s="12">
        <v>1500</v>
      </c>
      <c r="G160" s="12">
        <v>6000</v>
      </c>
      <c r="H160" s="12">
        <v>13500</v>
      </c>
      <c r="I160" s="13">
        <f t="shared" si="2"/>
        <v>2150</v>
      </c>
    </row>
    <row r="161" spans="1:9" ht="30" x14ac:dyDescent="0.25">
      <c r="A161" s="8">
        <v>24</v>
      </c>
      <c r="B161" s="9" t="s">
        <v>778</v>
      </c>
      <c r="C161" s="9" t="s">
        <v>779</v>
      </c>
      <c r="D161" s="9" t="s">
        <v>780</v>
      </c>
      <c r="E161" s="12">
        <v>2000</v>
      </c>
      <c r="F161" s="12">
        <v>3000</v>
      </c>
      <c r="G161" s="12">
        <v>15000</v>
      </c>
      <c r="H161" s="12">
        <v>40000</v>
      </c>
      <c r="I161" s="13">
        <f t="shared" si="2"/>
        <v>1900</v>
      </c>
    </row>
    <row r="162" spans="1:9" ht="30" x14ac:dyDescent="0.25">
      <c r="A162" s="8">
        <v>25</v>
      </c>
      <c r="B162" s="9" t="s">
        <v>781</v>
      </c>
      <c r="C162" s="9" t="s">
        <v>782</v>
      </c>
      <c r="D162" s="9" t="s">
        <v>783</v>
      </c>
      <c r="E162" s="12">
        <v>150</v>
      </c>
      <c r="F162" s="12">
        <v>420</v>
      </c>
      <c r="G162" s="12">
        <v>1800</v>
      </c>
      <c r="H162" s="12">
        <v>4100</v>
      </c>
      <c r="I162" s="13">
        <f t="shared" si="2"/>
        <v>2633</v>
      </c>
    </row>
    <row r="163" spans="1:9" ht="45" x14ac:dyDescent="0.25">
      <c r="A163" s="8">
        <v>26</v>
      </c>
      <c r="B163" s="9" t="s">
        <v>784</v>
      </c>
      <c r="C163" s="9" t="s">
        <v>785</v>
      </c>
      <c r="D163" s="9" t="s">
        <v>786</v>
      </c>
      <c r="E163" s="12">
        <v>500</v>
      </c>
      <c r="F163" s="12">
        <v>1000</v>
      </c>
      <c r="G163" s="12">
        <v>4200</v>
      </c>
      <c r="H163" s="12">
        <v>9500</v>
      </c>
      <c r="I163" s="13">
        <f t="shared" si="2"/>
        <v>1800</v>
      </c>
    </row>
    <row r="164" spans="1:9" ht="45" x14ac:dyDescent="0.25">
      <c r="A164" s="8">
        <v>27</v>
      </c>
      <c r="B164" s="9" t="s">
        <v>698</v>
      </c>
      <c r="C164" s="9" t="s">
        <v>787</v>
      </c>
      <c r="D164" s="9" t="s">
        <v>788</v>
      </c>
      <c r="E164" s="12">
        <v>120</v>
      </c>
      <c r="F164" s="12">
        <v>320</v>
      </c>
      <c r="G164" s="12">
        <v>1400</v>
      </c>
      <c r="H164" s="12">
        <v>3200</v>
      </c>
      <c r="I164" s="13">
        <f t="shared" si="2"/>
        <v>2567</v>
      </c>
    </row>
    <row r="165" spans="1:9" ht="45" x14ac:dyDescent="0.25">
      <c r="A165" s="8">
        <v>28</v>
      </c>
      <c r="B165" s="9" t="s">
        <v>789</v>
      </c>
      <c r="C165" s="9" t="s">
        <v>790</v>
      </c>
      <c r="D165" s="9" t="s">
        <v>791</v>
      </c>
      <c r="E165" s="12">
        <v>100</v>
      </c>
      <c r="F165" s="12">
        <v>250</v>
      </c>
      <c r="G165" s="12">
        <v>1100</v>
      </c>
      <c r="H165" s="12">
        <v>2600</v>
      </c>
      <c r="I165" s="13">
        <f t="shared" si="2"/>
        <v>2500</v>
      </c>
    </row>
    <row r="166" spans="1:9" ht="30" x14ac:dyDescent="0.25">
      <c r="A166" s="8">
        <v>29</v>
      </c>
      <c r="B166" s="9" t="s">
        <v>792</v>
      </c>
      <c r="C166" s="9" t="s">
        <v>793</v>
      </c>
      <c r="D166" s="9" t="s">
        <v>794</v>
      </c>
      <c r="E166" s="12">
        <v>1200</v>
      </c>
      <c r="F166" s="12">
        <v>600</v>
      </c>
      <c r="G166" s="12">
        <v>5000</v>
      </c>
      <c r="H166" s="12">
        <v>15000</v>
      </c>
      <c r="I166" s="13">
        <f t="shared" si="2"/>
        <v>1150</v>
      </c>
    </row>
    <row r="167" spans="1:9" ht="30" x14ac:dyDescent="0.25">
      <c r="A167" s="8">
        <v>30</v>
      </c>
      <c r="B167" s="9" t="s">
        <v>626</v>
      </c>
      <c r="C167" s="9" t="s">
        <v>795</v>
      </c>
      <c r="D167" s="9" t="s">
        <v>796</v>
      </c>
      <c r="E167" s="12">
        <v>120</v>
      </c>
      <c r="F167" s="12">
        <v>350</v>
      </c>
      <c r="G167" s="12">
        <v>1500</v>
      </c>
      <c r="H167" s="12">
        <v>3500</v>
      </c>
      <c r="I167" s="13">
        <f t="shared" si="2"/>
        <v>2817</v>
      </c>
    </row>
    <row r="168" spans="1:9" ht="45" x14ac:dyDescent="0.25">
      <c r="A168" s="8">
        <v>31</v>
      </c>
      <c r="B168" s="9" t="s">
        <v>797</v>
      </c>
      <c r="C168" s="9" t="s">
        <v>798</v>
      </c>
      <c r="D168" s="9" t="s">
        <v>799</v>
      </c>
      <c r="E168" s="12">
        <v>500</v>
      </c>
      <c r="F168" s="12">
        <v>400</v>
      </c>
      <c r="G168" s="12">
        <v>4000</v>
      </c>
      <c r="H168" s="12">
        <v>14000</v>
      </c>
      <c r="I168" s="13">
        <f t="shared" si="2"/>
        <v>2700</v>
      </c>
    </row>
    <row r="169" spans="1:9" ht="30" x14ac:dyDescent="0.25">
      <c r="A169" s="8">
        <v>32</v>
      </c>
      <c r="B169" s="9" t="s">
        <v>800</v>
      </c>
      <c r="C169" s="9" t="s">
        <v>801</v>
      </c>
      <c r="D169" s="9" t="s">
        <v>802</v>
      </c>
      <c r="E169" s="12">
        <v>80</v>
      </c>
      <c r="F169" s="12">
        <v>300</v>
      </c>
      <c r="G169" s="12">
        <v>1300</v>
      </c>
      <c r="H169" s="12">
        <v>3000</v>
      </c>
      <c r="I169" s="13">
        <f t="shared" si="2"/>
        <v>3650</v>
      </c>
    </row>
    <row r="170" spans="1:9" ht="30" x14ac:dyDescent="0.25">
      <c r="A170" s="8">
        <v>33</v>
      </c>
      <c r="B170" s="9" t="s">
        <v>803</v>
      </c>
      <c r="C170" s="9" t="s">
        <v>804</v>
      </c>
      <c r="D170" s="9" t="s">
        <v>805</v>
      </c>
      <c r="E170" s="12">
        <v>400</v>
      </c>
      <c r="F170" s="12">
        <v>1200</v>
      </c>
      <c r="G170" s="12">
        <v>5000</v>
      </c>
      <c r="H170" s="12">
        <v>11500</v>
      </c>
      <c r="I170" s="13">
        <f t="shared" ref="I170:I188" si="3">ROUND((H170-E170)/E170*100,0)</f>
        <v>2775</v>
      </c>
    </row>
    <row r="171" spans="1:9" ht="30" x14ac:dyDescent="0.25">
      <c r="A171" s="8">
        <v>34</v>
      </c>
      <c r="B171" s="9" t="s">
        <v>806</v>
      </c>
      <c r="C171" s="9" t="s">
        <v>807</v>
      </c>
      <c r="D171" s="9" t="s">
        <v>808</v>
      </c>
      <c r="E171" s="12">
        <v>150</v>
      </c>
      <c r="F171" s="12">
        <v>400</v>
      </c>
      <c r="G171" s="12">
        <v>1700</v>
      </c>
      <c r="H171" s="12">
        <v>3900</v>
      </c>
      <c r="I171" s="13">
        <f t="shared" si="3"/>
        <v>2500</v>
      </c>
    </row>
    <row r="172" spans="1:9" ht="45" x14ac:dyDescent="0.25">
      <c r="A172" s="8">
        <v>35</v>
      </c>
      <c r="B172" s="9" t="s">
        <v>614</v>
      </c>
      <c r="C172" s="9" t="s">
        <v>809</v>
      </c>
      <c r="D172" s="9" t="s">
        <v>810</v>
      </c>
      <c r="E172" s="12">
        <v>90</v>
      </c>
      <c r="F172" s="12">
        <v>280</v>
      </c>
      <c r="G172" s="12">
        <v>1200</v>
      </c>
      <c r="H172" s="12">
        <v>2800</v>
      </c>
      <c r="I172" s="13">
        <f t="shared" si="3"/>
        <v>3011</v>
      </c>
    </row>
    <row r="173" spans="1:9" ht="30" x14ac:dyDescent="0.25">
      <c r="A173" s="8">
        <v>36</v>
      </c>
      <c r="B173" s="9" t="s">
        <v>647</v>
      </c>
      <c r="C173" s="9" t="s">
        <v>811</v>
      </c>
      <c r="D173" s="9" t="s">
        <v>812</v>
      </c>
      <c r="E173" s="12">
        <v>200</v>
      </c>
      <c r="F173" s="12">
        <v>550</v>
      </c>
      <c r="G173" s="12">
        <v>2300</v>
      </c>
      <c r="H173" s="12">
        <v>5200</v>
      </c>
      <c r="I173" s="13">
        <f t="shared" si="3"/>
        <v>2500</v>
      </c>
    </row>
    <row r="174" spans="1:9" ht="30" x14ac:dyDescent="0.25">
      <c r="A174" s="8">
        <v>37</v>
      </c>
      <c r="B174" s="9" t="s">
        <v>605</v>
      </c>
      <c r="C174" s="9" t="s">
        <v>813</v>
      </c>
      <c r="D174" s="9" t="s">
        <v>814</v>
      </c>
      <c r="E174" s="12">
        <v>110</v>
      </c>
      <c r="F174" s="12">
        <v>320</v>
      </c>
      <c r="G174" s="12">
        <v>1350</v>
      </c>
      <c r="H174" s="12">
        <v>3100</v>
      </c>
      <c r="I174" s="13">
        <f t="shared" si="3"/>
        <v>2718</v>
      </c>
    </row>
    <row r="175" spans="1:9" ht="30" x14ac:dyDescent="0.25">
      <c r="A175" s="8">
        <v>38</v>
      </c>
      <c r="B175" s="9" t="s">
        <v>815</v>
      </c>
      <c r="C175" s="9" t="s">
        <v>816</v>
      </c>
      <c r="D175" s="9" t="s">
        <v>817</v>
      </c>
      <c r="E175" s="12">
        <v>80</v>
      </c>
      <c r="F175" s="12">
        <v>250</v>
      </c>
      <c r="G175" s="12">
        <v>1050</v>
      </c>
      <c r="H175" s="12">
        <v>2400</v>
      </c>
      <c r="I175" s="13">
        <f t="shared" si="3"/>
        <v>2900</v>
      </c>
    </row>
    <row r="176" spans="1:9" ht="45" x14ac:dyDescent="0.25">
      <c r="A176" s="8">
        <v>39</v>
      </c>
      <c r="B176" s="9" t="s">
        <v>818</v>
      </c>
      <c r="C176" s="9" t="s">
        <v>819</v>
      </c>
      <c r="D176" s="9" t="s">
        <v>820</v>
      </c>
      <c r="E176" s="12">
        <v>60</v>
      </c>
      <c r="F176" s="12">
        <v>250</v>
      </c>
      <c r="G176" s="12">
        <v>1050</v>
      </c>
      <c r="H176" s="12">
        <v>2400</v>
      </c>
      <c r="I176" s="13">
        <f t="shared" si="3"/>
        <v>3900</v>
      </c>
    </row>
    <row r="177" spans="1:10" ht="45" x14ac:dyDescent="0.25">
      <c r="A177" s="8">
        <v>40</v>
      </c>
      <c r="B177" s="9" t="s">
        <v>620</v>
      </c>
      <c r="C177" s="9" t="s">
        <v>821</v>
      </c>
      <c r="D177" s="9" t="s">
        <v>822</v>
      </c>
      <c r="E177" s="12">
        <v>500</v>
      </c>
      <c r="F177" s="12">
        <v>1200</v>
      </c>
      <c r="G177" s="12">
        <v>5000</v>
      </c>
      <c r="H177" s="12">
        <v>11500</v>
      </c>
      <c r="I177" s="13">
        <f t="shared" si="3"/>
        <v>2200</v>
      </c>
    </row>
    <row r="178" spans="1:10" ht="45" x14ac:dyDescent="0.25">
      <c r="A178" s="8">
        <v>41</v>
      </c>
      <c r="B178" s="9" t="s">
        <v>823</v>
      </c>
      <c r="C178" s="9" t="s">
        <v>824</v>
      </c>
      <c r="D178" s="9" t="s">
        <v>825</v>
      </c>
      <c r="E178" s="12">
        <v>200</v>
      </c>
      <c r="F178" s="12">
        <v>100</v>
      </c>
      <c r="G178" s="12">
        <v>600</v>
      </c>
      <c r="H178" s="12">
        <v>1600</v>
      </c>
      <c r="I178" s="13">
        <f t="shared" si="3"/>
        <v>700</v>
      </c>
    </row>
    <row r="179" spans="1:10" ht="30" x14ac:dyDescent="0.25">
      <c r="A179" s="8">
        <v>42</v>
      </c>
      <c r="B179" s="9" t="s">
        <v>826</v>
      </c>
      <c r="C179" s="9" t="s">
        <v>827</v>
      </c>
      <c r="D179" s="9" t="s">
        <v>828</v>
      </c>
      <c r="E179" s="12">
        <v>150</v>
      </c>
      <c r="F179" s="12">
        <v>350</v>
      </c>
      <c r="G179" s="12">
        <v>1500</v>
      </c>
      <c r="H179" s="12">
        <v>3500</v>
      </c>
      <c r="I179" s="13">
        <f t="shared" si="3"/>
        <v>2233</v>
      </c>
    </row>
    <row r="180" spans="1:10" ht="30" x14ac:dyDescent="0.25">
      <c r="A180" s="8">
        <v>43</v>
      </c>
      <c r="B180" s="9" t="s">
        <v>829</v>
      </c>
      <c r="C180" s="9" t="s">
        <v>830</v>
      </c>
      <c r="D180" s="9" t="s">
        <v>831</v>
      </c>
      <c r="E180" s="12">
        <v>100</v>
      </c>
      <c r="F180" s="12">
        <v>350</v>
      </c>
      <c r="G180" s="12">
        <v>1500</v>
      </c>
      <c r="H180" s="12">
        <v>3400</v>
      </c>
      <c r="I180" s="13">
        <f t="shared" si="3"/>
        <v>3300</v>
      </c>
    </row>
    <row r="181" spans="1:10" ht="45" x14ac:dyDescent="0.25">
      <c r="A181" s="8">
        <v>44</v>
      </c>
      <c r="B181" s="9" t="s">
        <v>832</v>
      </c>
      <c r="C181" s="9" t="s">
        <v>833</v>
      </c>
      <c r="D181" s="9" t="s">
        <v>834</v>
      </c>
      <c r="E181" s="12">
        <v>80</v>
      </c>
      <c r="F181" s="12">
        <v>250</v>
      </c>
      <c r="G181" s="12">
        <v>1050</v>
      </c>
      <c r="H181" s="12">
        <v>2400</v>
      </c>
      <c r="I181" s="13">
        <f t="shared" si="3"/>
        <v>2900</v>
      </c>
    </row>
    <row r="182" spans="1:10" ht="45" x14ac:dyDescent="0.25">
      <c r="A182" s="8">
        <v>45</v>
      </c>
      <c r="B182" s="9" t="s">
        <v>835</v>
      </c>
      <c r="C182" s="9" t="s">
        <v>836</v>
      </c>
      <c r="D182" s="9" t="s">
        <v>837</v>
      </c>
      <c r="E182" s="12">
        <v>120</v>
      </c>
      <c r="F182" s="12">
        <v>300</v>
      </c>
      <c r="G182" s="12">
        <v>1250</v>
      </c>
      <c r="H182" s="12">
        <v>2900</v>
      </c>
      <c r="I182" s="13">
        <f t="shared" si="3"/>
        <v>2317</v>
      </c>
    </row>
    <row r="183" spans="1:10" ht="45" x14ac:dyDescent="0.25">
      <c r="A183" s="8">
        <v>46</v>
      </c>
      <c r="B183" s="9" t="s">
        <v>838</v>
      </c>
      <c r="C183" s="9" t="s">
        <v>839</v>
      </c>
      <c r="D183" s="9" t="s">
        <v>840</v>
      </c>
      <c r="E183" s="12">
        <v>200</v>
      </c>
      <c r="F183" s="12">
        <v>500</v>
      </c>
      <c r="G183" s="12">
        <v>2100</v>
      </c>
      <c r="H183" s="12">
        <v>4800</v>
      </c>
      <c r="I183" s="13">
        <f t="shared" si="3"/>
        <v>2300</v>
      </c>
    </row>
    <row r="184" spans="1:10" ht="30" x14ac:dyDescent="0.25">
      <c r="A184" s="8">
        <v>47</v>
      </c>
      <c r="B184" s="9" t="s">
        <v>683</v>
      </c>
      <c r="C184" s="9" t="s">
        <v>841</v>
      </c>
      <c r="D184" s="9" t="s">
        <v>842</v>
      </c>
      <c r="E184" s="12">
        <v>80</v>
      </c>
      <c r="F184" s="12">
        <v>220</v>
      </c>
      <c r="G184" s="12">
        <v>900</v>
      </c>
      <c r="H184" s="12">
        <v>2100</v>
      </c>
      <c r="I184" s="13">
        <f t="shared" si="3"/>
        <v>2525</v>
      </c>
    </row>
    <row r="185" spans="1:10" ht="30" x14ac:dyDescent="0.25">
      <c r="A185" s="8">
        <v>48</v>
      </c>
      <c r="B185" s="9" t="s">
        <v>843</v>
      </c>
      <c r="C185" s="9" t="s">
        <v>844</v>
      </c>
      <c r="D185" s="9" t="s">
        <v>845</v>
      </c>
      <c r="E185" s="12">
        <v>3000</v>
      </c>
      <c r="F185" s="12">
        <v>2000</v>
      </c>
      <c r="G185" s="12">
        <v>20000</v>
      </c>
      <c r="H185" s="12">
        <v>80000</v>
      </c>
      <c r="I185" s="13">
        <f t="shared" si="3"/>
        <v>2567</v>
      </c>
    </row>
    <row r="186" spans="1:10" ht="30" x14ac:dyDescent="0.25">
      <c r="A186" s="8">
        <v>49</v>
      </c>
      <c r="B186" s="9" t="s">
        <v>846</v>
      </c>
      <c r="C186" s="9" t="s">
        <v>847</v>
      </c>
      <c r="D186" s="9" t="s">
        <v>848</v>
      </c>
      <c r="E186" s="12">
        <v>2000</v>
      </c>
      <c r="F186" s="12">
        <v>500</v>
      </c>
      <c r="G186" s="12">
        <v>8000</v>
      </c>
      <c r="H186" s="12">
        <v>50000</v>
      </c>
      <c r="I186" s="13">
        <f t="shared" si="3"/>
        <v>2400</v>
      </c>
    </row>
    <row r="187" spans="1:10" ht="45" x14ac:dyDescent="0.25">
      <c r="A187" s="8">
        <v>50</v>
      </c>
      <c r="B187" s="9" t="s">
        <v>704</v>
      </c>
      <c r="C187" s="9" t="s">
        <v>849</v>
      </c>
      <c r="D187" s="9" t="s">
        <v>850</v>
      </c>
      <c r="E187" s="12">
        <v>2500</v>
      </c>
      <c r="F187" s="12">
        <v>3500</v>
      </c>
      <c r="G187" s="12">
        <v>18000</v>
      </c>
      <c r="H187" s="12">
        <v>50000</v>
      </c>
      <c r="I187" s="13">
        <f t="shared" si="3"/>
        <v>1900</v>
      </c>
    </row>
    <row r="188" spans="1:10" x14ac:dyDescent="0.25">
      <c r="A188" s="7" t="s">
        <v>851</v>
      </c>
      <c r="B188" s="7" t="s">
        <v>852</v>
      </c>
      <c r="C188" s="7" t="s">
        <v>853</v>
      </c>
      <c r="D188" s="7" t="s">
        <v>854</v>
      </c>
      <c r="E188" s="14">
        <f>SUM(E138:E187)</f>
        <v>32870</v>
      </c>
      <c r="F188" s="14">
        <f>SUM(F138:F187)</f>
        <v>43540</v>
      </c>
      <c r="G188" s="14">
        <f>SUM(G138:G187)</f>
        <v>245750</v>
      </c>
      <c r="H188" s="14">
        <f>SUM(H138:H187)</f>
        <v>736400</v>
      </c>
      <c r="I188" s="15">
        <f t="shared" si="3"/>
        <v>2140</v>
      </c>
    </row>
    <row r="189" spans="1:10" x14ac:dyDescent="0.25">
      <c r="A189" s="7" t="s">
        <v>855</v>
      </c>
      <c r="B189" s="7" t="s">
        <v>708</v>
      </c>
      <c r="C189" s="7" t="s">
        <v>856</v>
      </c>
      <c r="D189" s="7" t="s">
        <v>857</v>
      </c>
      <c r="E189" s="14">
        <f>E188-E131</f>
        <v>22875</v>
      </c>
      <c r="F189" s="14">
        <f>F188-F131</f>
        <v>27220</v>
      </c>
      <c r="G189" s="14">
        <f>G188-G131</f>
        <v>184075</v>
      </c>
      <c r="H189" s="14">
        <f>H188-H131</f>
        <v>591630</v>
      </c>
      <c r="I189" s="15">
        <f>ROUND((H189/E189)*100,0)</f>
        <v>2586</v>
      </c>
    </row>
    <row r="192" spans="1:10" ht="17.25" x14ac:dyDescent="0.25">
      <c r="A192" s="24" t="s">
        <v>858</v>
      </c>
      <c r="B192" s="24"/>
      <c r="C192" s="24"/>
      <c r="D192" s="24"/>
      <c r="E192" s="24"/>
      <c r="F192" s="24"/>
      <c r="G192" s="24"/>
      <c r="H192" s="24"/>
      <c r="I192" s="24"/>
      <c r="J192" s="24"/>
    </row>
    <row r="193" spans="1:10" x14ac:dyDescent="0.25">
      <c r="A193" s="25" t="s">
        <v>859</v>
      </c>
      <c r="B193" s="25"/>
      <c r="C193" s="25"/>
      <c r="D193" s="25"/>
      <c r="E193" s="25"/>
      <c r="F193" s="25"/>
      <c r="G193" s="25"/>
      <c r="H193" s="25"/>
      <c r="I193" s="25"/>
      <c r="J193" s="25"/>
    </row>
    <row r="194" spans="1:10" x14ac:dyDescent="0.25">
      <c r="A194" s="6" t="s">
        <v>155</v>
      </c>
      <c r="B194" s="7" t="s">
        <v>860</v>
      </c>
      <c r="C194" s="7" t="s">
        <v>861</v>
      </c>
      <c r="D194" s="7" t="s">
        <v>862</v>
      </c>
      <c r="E194" s="6" t="s">
        <v>863</v>
      </c>
      <c r="F194" s="6" t="s">
        <v>864</v>
      </c>
      <c r="G194" s="6" t="s">
        <v>865</v>
      </c>
      <c r="H194" s="6" t="s">
        <v>866</v>
      </c>
      <c r="I194" s="6" t="s">
        <v>867</v>
      </c>
      <c r="J194" s="6" t="s">
        <v>868</v>
      </c>
    </row>
    <row r="195" spans="1:10" x14ac:dyDescent="0.25">
      <c r="A195" s="8">
        <v>1</v>
      </c>
      <c r="B195" s="9" t="s">
        <v>718</v>
      </c>
      <c r="C195" s="9" t="s">
        <v>869</v>
      </c>
      <c r="D195" s="9" t="s">
        <v>870</v>
      </c>
      <c r="E195" s="12">
        <v>420</v>
      </c>
      <c r="F195" s="12">
        <f t="shared" ref="F195:F226" si="4">E195*12</f>
        <v>5040</v>
      </c>
      <c r="G195" s="12">
        <v>22000</v>
      </c>
      <c r="H195" s="12">
        <v>58000</v>
      </c>
      <c r="I195" s="16">
        <v>10</v>
      </c>
      <c r="J195" s="17" t="s">
        <v>871</v>
      </c>
    </row>
    <row r="196" spans="1:10" x14ac:dyDescent="0.25">
      <c r="A196" s="8">
        <v>2</v>
      </c>
      <c r="B196" s="9" t="s">
        <v>872</v>
      </c>
      <c r="C196" s="9" t="s">
        <v>873</v>
      </c>
      <c r="D196" s="9" t="s">
        <v>874</v>
      </c>
      <c r="E196" s="12">
        <v>1500</v>
      </c>
      <c r="F196" s="12">
        <f t="shared" si="4"/>
        <v>18000</v>
      </c>
      <c r="G196" s="12">
        <v>75000</v>
      </c>
      <c r="H196" s="12">
        <v>220000</v>
      </c>
      <c r="I196" s="16">
        <v>12</v>
      </c>
      <c r="J196" s="17" t="s">
        <v>875</v>
      </c>
    </row>
    <row r="197" spans="1:10" x14ac:dyDescent="0.25">
      <c r="A197" s="8">
        <v>3</v>
      </c>
      <c r="B197" s="9" t="s">
        <v>876</v>
      </c>
      <c r="C197" s="9" t="s">
        <v>877</v>
      </c>
      <c r="D197" s="9" t="s">
        <v>878</v>
      </c>
      <c r="E197" s="12">
        <v>280</v>
      </c>
      <c r="F197" s="12">
        <f t="shared" si="4"/>
        <v>3360</v>
      </c>
      <c r="G197" s="12">
        <v>14000</v>
      </c>
      <c r="H197" s="12">
        <v>38000</v>
      </c>
      <c r="I197" s="16">
        <v>6</v>
      </c>
      <c r="J197" s="17" t="s">
        <v>879</v>
      </c>
    </row>
    <row r="198" spans="1:10" x14ac:dyDescent="0.25">
      <c r="A198" s="8">
        <v>4</v>
      </c>
      <c r="B198" s="9" t="s">
        <v>880</v>
      </c>
      <c r="C198" s="9" t="s">
        <v>881</v>
      </c>
      <c r="D198" s="9" t="s">
        <v>882</v>
      </c>
      <c r="E198" s="12">
        <v>2800</v>
      </c>
      <c r="F198" s="12">
        <f t="shared" si="4"/>
        <v>33600</v>
      </c>
      <c r="G198" s="12">
        <v>145000</v>
      </c>
      <c r="H198" s="12">
        <v>420000</v>
      </c>
      <c r="I198" s="16">
        <v>8</v>
      </c>
      <c r="J198" s="17" t="s">
        <v>883</v>
      </c>
    </row>
    <row r="199" spans="1:10" ht="30" x14ac:dyDescent="0.25">
      <c r="A199" s="8">
        <v>5</v>
      </c>
      <c r="B199" s="9" t="s">
        <v>297</v>
      </c>
      <c r="C199" s="9" t="s">
        <v>884</v>
      </c>
      <c r="D199" s="9" t="s">
        <v>885</v>
      </c>
      <c r="E199" s="12">
        <v>900</v>
      </c>
      <c r="F199" s="12">
        <f t="shared" si="4"/>
        <v>10800</v>
      </c>
      <c r="G199" s="12">
        <v>55000</v>
      </c>
      <c r="H199" s="12">
        <v>220000</v>
      </c>
      <c r="I199" s="16">
        <v>3</v>
      </c>
      <c r="J199" s="17" t="s">
        <v>886</v>
      </c>
    </row>
    <row r="200" spans="1:10" x14ac:dyDescent="0.25">
      <c r="A200" s="8">
        <v>6</v>
      </c>
      <c r="B200" s="9" t="s">
        <v>887</v>
      </c>
      <c r="C200" s="9" t="s">
        <v>888</v>
      </c>
      <c r="D200" s="9" t="s">
        <v>889</v>
      </c>
      <c r="E200" s="12">
        <v>620</v>
      </c>
      <c r="F200" s="12">
        <f t="shared" si="4"/>
        <v>7440</v>
      </c>
      <c r="G200" s="12">
        <v>32000</v>
      </c>
      <c r="H200" s="12">
        <v>88000</v>
      </c>
      <c r="I200" s="16">
        <v>5</v>
      </c>
      <c r="J200" s="17" t="s">
        <v>890</v>
      </c>
    </row>
    <row r="201" spans="1:10" x14ac:dyDescent="0.25">
      <c r="A201" s="8">
        <v>7</v>
      </c>
      <c r="B201" s="9" t="s">
        <v>891</v>
      </c>
      <c r="C201" s="9" t="s">
        <v>892</v>
      </c>
      <c r="D201" s="9" t="s">
        <v>893</v>
      </c>
      <c r="E201" s="12">
        <v>750</v>
      </c>
      <c r="F201" s="12">
        <f t="shared" si="4"/>
        <v>9000</v>
      </c>
      <c r="G201" s="12">
        <v>38000</v>
      </c>
      <c r="H201" s="12">
        <v>105000</v>
      </c>
      <c r="I201" s="16">
        <v>7</v>
      </c>
      <c r="J201" s="17" t="s">
        <v>894</v>
      </c>
    </row>
    <row r="202" spans="1:10" x14ac:dyDescent="0.25">
      <c r="A202" s="8">
        <v>8</v>
      </c>
      <c r="B202" s="9" t="s">
        <v>176</v>
      </c>
      <c r="C202" s="9" t="s">
        <v>895</v>
      </c>
      <c r="D202" s="9" t="s">
        <v>896</v>
      </c>
      <c r="E202" s="12">
        <v>1100</v>
      </c>
      <c r="F202" s="12">
        <f t="shared" si="4"/>
        <v>13200</v>
      </c>
      <c r="G202" s="12">
        <v>58000</v>
      </c>
      <c r="H202" s="12">
        <v>170000</v>
      </c>
      <c r="I202" s="16">
        <v>9</v>
      </c>
      <c r="J202" s="17" t="s">
        <v>897</v>
      </c>
    </row>
    <row r="203" spans="1:10" x14ac:dyDescent="0.25">
      <c r="A203" s="8">
        <v>9</v>
      </c>
      <c r="B203" s="9" t="s">
        <v>898</v>
      </c>
      <c r="C203" s="9" t="s">
        <v>899</v>
      </c>
      <c r="D203" s="9" t="s">
        <v>900</v>
      </c>
      <c r="E203" s="12">
        <v>880</v>
      </c>
      <c r="F203" s="12">
        <f t="shared" si="4"/>
        <v>10560</v>
      </c>
      <c r="G203" s="12">
        <v>45000</v>
      </c>
      <c r="H203" s="12">
        <v>130000</v>
      </c>
      <c r="I203" s="16">
        <v>8</v>
      </c>
      <c r="J203" s="17" t="s">
        <v>901</v>
      </c>
    </row>
    <row r="204" spans="1:10" x14ac:dyDescent="0.25">
      <c r="A204" s="8">
        <v>10</v>
      </c>
      <c r="B204" s="9" t="s">
        <v>902</v>
      </c>
      <c r="C204" s="9" t="s">
        <v>903</v>
      </c>
      <c r="D204" s="9" t="s">
        <v>904</v>
      </c>
      <c r="E204" s="12">
        <v>1800</v>
      </c>
      <c r="F204" s="12">
        <f t="shared" si="4"/>
        <v>21600</v>
      </c>
      <c r="G204" s="12">
        <v>92000</v>
      </c>
      <c r="H204" s="12">
        <v>280000</v>
      </c>
      <c r="I204" s="16">
        <v>10</v>
      </c>
      <c r="J204" s="17" t="s">
        <v>905</v>
      </c>
    </row>
    <row r="205" spans="1:10" x14ac:dyDescent="0.25">
      <c r="A205" s="8">
        <v>11</v>
      </c>
      <c r="B205" s="9" t="s">
        <v>746</v>
      </c>
      <c r="C205" s="9" t="s">
        <v>906</v>
      </c>
      <c r="D205" s="9" t="s">
        <v>907</v>
      </c>
      <c r="E205" s="12">
        <v>480</v>
      </c>
      <c r="F205" s="12">
        <f t="shared" si="4"/>
        <v>5760</v>
      </c>
      <c r="G205" s="12">
        <v>25000</v>
      </c>
      <c r="H205" s="12">
        <v>68000</v>
      </c>
      <c r="I205" s="16">
        <v>5</v>
      </c>
      <c r="J205" s="17" t="s">
        <v>908</v>
      </c>
    </row>
    <row r="206" spans="1:10" x14ac:dyDescent="0.25">
      <c r="A206" s="8">
        <v>12</v>
      </c>
      <c r="B206" s="9" t="s">
        <v>749</v>
      </c>
      <c r="C206" s="9" t="s">
        <v>909</v>
      </c>
      <c r="D206" s="9" t="s">
        <v>910</v>
      </c>
      <c r="E206" s="12">
        <v>350</v>
      </c>
      <c r="F206" s="12">
        <f t="shared" si="4"/>
        <v>4200</v>
      </c>
      <c r="G206" s="12">
        <v>18000</v>
      </c>
      <c r="H206" s="12">
        <v>50000</v>
      </c>
      <c r="I206" s="16">
        <v>5</v>
      </c>
      <c r="J206" s="17" t="s">
        <v>911</v>
      </c>
    </row>
    <row r="207" spans="1:10" x14ac:dyDescent="0.25">
      <c r="A207" s="8">
        <v>13</v>
      </c>
      <c r="B207" s="9" t="s">
        <v>912</v>
      </c>
      <c r="C207" s="9" t="s">
        <v>913</v>
      </c>
      <c r="D207" s="9" t="s">
        <v>914</v>
      </c>
      <c r="E207" s="12">
        <v>190</v>
      </c>
      <c r="F207" s="12">
        <f t="shared" si="4"/>
        <v>2280</v>
      </c>
      <c r="G207" s="12">
        <v>10000</v>
      </c>
      <c r="H207" s="12">
        <v>28000</v>
      </c>
      <c r="I207" s="16">
        <v>3</v>
      </c>
      <c r="J207" s="17" t="s">
        <v>915</v>
      </c>
    </row>
    <row r="208" spans="1:10" x14ac:dyDescent="0.25">
      <c r="A208" s="8">
        <v>14</v>
      </c>
      <c r="B208" s="9" t="s">
        <v>566</v>
      </c>
      <c r="C208" s="9" t="s">
        <v>916</v>
      </c>
      <c r="D208" s="9" t="s">
        <v>917</v>
      </c>
      <c r="E208" s="12">
        <v>520</v>
      </c>
      <c r="F208" s="12">
        <f t="shared" si="4"/>
        <v>6240</v>
      </c>
      <c r="G208" s="12">
        <v>27000</v>
      </c>
      <c r="H208" s="12">
        <v>75000</v>
      </c>
      <c r="I208" s="16">
        <v>6</v>
      </c>
      <c r="J208" s="17" t="s">
        <v>918</v>
      </c>
    </row>
    <row r="209" spans="1:10" x14ac:dyDescent="0.25">
      <c r="A209" s="8">
        <v>15</v>
      </c>
      <c r="B209" s="9" t="s">
        <v>919</v>
      </c>
      <c r="C209" s="9" t="s">
        <v>920</v>
      </c>
      <c r="D209" s="9" t="s">
        <v>921</v>
      </c>
      <c r="E209" s="12">
        <v>210</v>
      </c>
      <c r="F209" s="12">
        <f t="shared" si="4"/>
        <v>2520</v>
      </c>
      <c r="G209" s="12">
        <v>11000</v>
      </c>
      <c r="H209" s="12">
        <v>30000</v>
      </c>
      <c r="I209" s="16">
        <v>4</v>
      </c>
      <c r="J209" s="17" t="s">
        <v>922</v>
      </c>
    </row>
    <row r="210" spans="1:10" x14ac:dyDescent="0.25">
      <c r="A210" s="8">
        <v>16</v>
      </c>
      <c r="B210" s="9" t="s">
        <v>923</v>
      </c>
      <c r="C210" s="9" t="s">
        <v>924</v>
      </c>
      <c r="D210" s="9" t="s">
        <v>925</v>
      </c>
      <c r="E210" s="12">
        <v>580</v>
      </c>
      <c r="F210" s="12">
        <f t="shared" si="4"/>
        <v>6960</v>
      </c>
      <c r="G210" s="12">
        <v>30000</v>
      </c>
      <c r="H210" s="12">
        <v>85000</v>
      </c>
      <c r="I210" s="16">
        <v>7</v>
      </c>
      <c r="J210" s="17" t="s">
        <v>926</v>
      </c>
    </row>
    <row r="211" spans="1:10" ht="30" x14ac:dyDescent="0.25">
      <c r="A211" s="8">
        <v>17</v>
      </c>
      <c r="B211" s="9" t="s">
        <v>578</v>
      </c>
      <c r="C211" s="9" t="s">
        <v>927</v>
      </c>
      <c r="D211" s="9" t="s">
        <v>928</v>
      </c>
      <c r="E211" s="12">
        <v>160</v>
      </c>
      <c r="F211" s="12">
        <f t="shared" si="4"/>
        <v>1920</v>
      </c>
      <c r="G211" s="12">
        <v>8500</v>
      </c>
      <c r="H211" s="12">
        <v>24000</v>
      </c>
      <c r="I211" s="16">
        <v>3</v>
      </c>
      <c r="J211" s="17" t="s">
        <v>929</v>
      </c>
    </row>
    <row r="212" spans="1:10" ht="30" x14ac:dyDescent="0.25">
      <c r="A212" s="8">
        <v>18</v>
      </c>
      <c r="B212" s="9" t="s">
        <v>930</v>
      </c>
      <c r="C212" s="9" t="s">
        <v>931</v>
      </c>
      <c r="D212" s="9" t="s">
        <v>932</v>
      </c>
      <c r="E212" s="12">
        <v>1200</v>
      </c>
      <c r="F212" s="12">
        <f t="shared" si="4"/>
        <v>14400</v>
      </c>
      <c r="G212" s="12">
        <v>62000</v>
      </c>
      <c r="H212" s="12">
        <v>180000</v>
      </c>
      <c r="I212" s="16">
        <v>10</v>
      </c>
      <c r="J212" s="17" t="s">
        <v>933</v>
      </c>
    </row>
    <row r="213" spans="1:10" x14ac:dyDescent="0.25">
      <c r="A213" s="8">
        <v>19</v>
      </c>
      <c r="B213" s="9" t="s">
        <v>557</v>
      </c>
      <c r="C213" s="9" t="s">
        <v>934</v>
      </c>
      <c r="D213" s="9" t="s">
        <v>935</v>
      </c>
      <c r="E213" s="12">
        <v>320</v>
      </c>
      <c r="F213" s="12">
        <f t="shared" si="4"/>
        <v>3840</v>
      </c>
      <c r="G213" s="12">
        <v>17000</v>
      </c>
      <c r="H213" s="12">
        <v>48000</v>
      </c>
      <c r="I213" s="16">
        <v>4</v>
      </c>
      <c r="J213" s="17" t="s">
        <v>936</v>
      </c>
    </row>
    <row r="214" spans="1:10" x14ac:dyDescent="0.25">
      <c r="A214" s="8">
        <v>20</v>
      </c>
      <c r="B214" s="9" t="s">
        <v>635</v>
      </c>
      <c r="C214" s="9" t="s">
        <v>937</v>
      </c>
      <c r="D214" s="9" t="s">
        <v>938</v>
      </c>
      <c r="E214" s="12">
        <v>380</v>
      </c>
      <c r="F214" s="12">
        <f t="shared" si="4"/>
        <v>4560</v>
      </c>
      <c r="G214" s="12">
        <v>20000</v>
      </c>
      <c r="H214" s="12">
        <v>55000</v>
      </c>
      <c r="I214" s="16">
        <v>5</v>
      </c>
      <c r="J214" s="17" t="s">
        <v>939</v>
      </c>
    </row>
    <row r="215" spans="1:10" x14ac:dyDescent="0.25">
      <c r="A215" s="8">
        <v>21</v>
      </c>
      <c r="B215" s="9" t="s">
        <v>940</v>
      </c>
      <c r="C215" s="9" t="s">
        <v>941</v>
      </c>
      <c r="D215" s="9" t="s">
        <v>942</v>
      </c>
      <c r="E215" s="12">
        <v>650</v>
      </c>
      <c r="F215" s="12">
        <f t="shared" si="4"/>
        <v>7800</v>
      </c>
      <c r="G215" s="12">
        <v>34000</v>
      </c>
      <c r="H215" s="12">
        <v>95000</v>
      </c>
      <c r="I215" s="16">
        <v>8</v>
      </c>
      <c r="J215" s="17" t="s">
        <v>943</v>
      </c>
    </row>
    <row r="216" spans="1:10" x14ac:dyDescent="0.25">
      <c r="A216" s="8">
        <v>22</v>
      </c>
      <c r="B216" s="9" t="s">
        <v>641</v>
      </c>
      <c r="C216" s="9" t="s">
        <v>944</v>
      </c>
      <c r="D216" s="9" t="s">
        <v>945</v>
      </c>
      <c r="E216" s="12">
        <v>290</v>
      </c>
      <c r="F216" s="12">
        <f t="shared" si="4"/>
        <v>3480</v>
      </c>
      <c r="G216" s="12">
        <v>15000</v>
      </c>
      <c r="H216" s="12">
        <v>42000</v>
      </c>
      <c r="I216" s="16">
        <v>5</v>
      </c>
      <c r="J216" s="17" t="s">
        <v>946</v>
      </c>
    </row>
    <row r="217" spans="1:10" x14ac:dyDescent="0.25">
      <c r="A217" s="8">
        <v>23</v>
      </c>
      <c r="B217" s="9" t="s">
        <v>629</v>
      </c>
      <c r="C217" s="9" t="s">
        <v>947</v>
      </c>
      <c r="D217" s="9" t="s">
        <v>948</v>
      </c>
      <c r="E217" s="12">
        <v>560</v>
      </c>
      <c r="F217" s="12">
        <f t="shared" si="4"/>
        <v>6720</v>
      </c>
      <c r="G217" s="12">
        <v>29000</v>
      </c>
      <c r="H217" s="12">
        <v>80000</v>
      </c>
      <c r="I217" s="16">
        <v>7</v>
      </c>
      <c r="J217" s="17" t="s">
        <v>949</v>
      </c>
    </row>
    <row r="218" spans="1:10" x14ac:dyDescent="0.25">
      <c r="A218" s="8">
        <v>24</v>
      </c>
      <c r="B218" s="9" t="s">
        <v>778</v>
      </c>
      <c r="C218" s="9" t="s">
        <v>950</v>
      </c>
      <c r="D218" s="9" t="s">
        <v>951</v>
      </c>
      <c r="E218" s="12">
        <v>1400</v>
      </c>
      <c r="F218" s="12">
        <f t="shared" si="4"/>
        <v>16800</v>
      </c>
      <c r="G218" s="12">
        <v>72000</v>
      </c>
      <c r="H218" s="12">
        <v>210000</v>
      </c>
      <c r="I218" s="16">
        <v>12</v>
      </c>
      <c r="J218" s="17" t="s">
        <v>952</v>
      </c>
    </row>
    <row r="219" spans="1:10" x14ac:dyDescent="0.25">
      <c r="A219" s="8">
        <v>25</v>
      </c>
      <c r="B219" s="9" t="s">
        <v>781</v>
      </c>
      <c r="C219" s="9" t="s">
        <v>953</v>
      </c>
      <c r="D219" s="9" t="s">
        <v>954</v>
      </c>
      <c r="E219" s="12">
        <v>240</v>
      </c>
      <c r="F219" s="12">
        <f t="shared" si="4"/>
        <v>2880</v>
      </c>
      <c r="G219" s="12">
        <v>13000</v>
      </c>
      <c r="H219" s="12">
        <v>36000</v>
      </c>
      <c r="I219" s="16">
        <v>4</v>
      </c>
      <c r="J219" s="17" t="s">
        <v>955</v>
      </c>
    </row>
    <row r="220" spans="1:10" x14ac:dyDescent="0.25">
      <c r="A220" s="8">
        <v>26</v>
      </c>
      <c r="B220" s="9" t="s">
        <v>956</v>
      </c>
      <c r="C220" s="9" t="s">
        <v>957</v>
      </c>
      <c r="D220" s="9" t="s">
        <v>958</v>
      </c>
      <c r="E220" s="12">
        <v>620</v>
      </c>
      <c r="F220" s="12">
        <f t="shared" si="4"/>
        <v>7440</v>
      </c>
      <c r="G220" s="12">
        <v>32000</v>
      </c>
      <c r="H220" s="12">
        <v>90000</v>
      </c>
      <c r="I220" s="16">
        <v>6</v>
      </c>
      <c r="J220" s="17" t="s">
        <v>959</v>
      </c>
    </row>
    <row r="221" spans="1:10" x14ac:dyDescent="0.25">
      <c r="A221" s="8">
        <v>27</v>
      </c>
      <c r="B221" s="9" t="s">
        <v>960</v>
      </c>
      <c r="C221" s="9" t="s">
        <v>961</v>
      </c>
      <c r="D221" s="9" t="s">
        <v>962</v>
      </c>
      <c r="E221" s="12">
        <v>130</v>
      </c>
      <c r="F221" s="12">
        <f t="shared" si="4"/>
        <v>1560</v>
      </c>
      <c r="G221" s="12">
        <v>7000</v>
      </c>
      <c r="H221" s="12">
        <v>19000</v>
      </c>
      <c r="I221" s="16">
        <v>3</v>
      </c>
      <c r="J221" s="17" t="s">
        <v>963</v>
      </c>
    </row>
    <row r="222" spans="1:10" ht="30" x14ac:dyDescent="0.25">
      <c r="A222" s="8">
        <v>28</v>
      </c>
      <c r="B222" s="9" t="s">
        <v>964</v>
      </c>
      <c r="C222" s="9" t="s">
        <v>965</v>
      </c>
      <c r="D222" s="9" t="s">
        <v>966</v>
      </c>
      <c r="E222" s="12">
        <v>110</v>
      </c>
      <c r="F222" s="12">
        <f t="shared" si="4"/>
        <v>1320</v>
      </c>
      <c r="G222" s="12">
        <v>6000</v>
      </c>
      <c r="H222" s="12">
        <v>16000</v>
      </c>
      <c r="I222" s="16">
        <v>3</v>
      </c>
      <c r="J222" s="17" t="s">
        <v>967</v>
      </c>
    </row>
    <row r="223" spans="1:10" x14ac:dyDescent="0.25">
      <c r="A223" s="8">
        <v>29</v>
      </c>
      <c r="B223" s="9" t="s">
        <v>968</v>
      </c>
      <c r="C223" s="9" t="s">
        <v>969</v>
      </c>
      <c r="D223" s="9" t="s">
        <v>970</v>
      </c>
      <c r="E223" s="12">
        <v>900</v>
      </c>
      <c r="F223" s="12">
        <f t="shared" si="4"/>
        <v>10800</v>
      </c>
      <c r="G223" s="12">
        <v>46000</v>
      </c>
      <c r="H223" s="12">
        <v>130000</v>
      </c>
      <c r="I223" s="16">
        <v>9</v>
      </c>
      <c r="J223" s="17" t="s">
        <v>971</v>
      </c>
    </row>
    <row r="224" spans="1:10" x14ac:dyDescent="0.25">
      <c r="A224" s="8">
        <v>30</v>
      </c>
      <c r="B224" s="9" t="s">
        <v>972</v>
      </c>
      <c r="C224" s="9" t="s">
        <v>973</v>
      </c>
      <c r="D224" s="9" t="s">
        <v>974</v>
      </c>
      <c r="E224" s="12">
        <v>175</v>
      </c>
      <c r="F224" s="12">
        <f t="shared" si="4"/>
        <v>2100</v>
      </c>
      <c r="G224" s="12">
        <v>9200</v>
      </c>
      <c r="H224" s="12">
        <v>26000</v>
      </c>
      <c r="I224" s="16">
        <v>4</v>
      </c>
      <c r="J224" s="17" t="s">
        <v>975</v>
      </c>
    </row>
    <row r="225" spans="1:10" x14ac:dyDescent="0.25">
      <c r="A225" s="8">
        <v>31</v>
      </c>
      <c r="B225" s="9" t="s">
        <v>797</v>
      </c>
      <c r="C225" s="9" t="s">
        <v>976</v>
      </c>
      <c r="D225" s="9" t="s">
        <v>977</v>
      </c>
      <c r="E225" s="12">
        <v>480</v>
      </c>
      <c r="F225" s="12">
        <f t="shared" si="4"/>
        <v>5760</v>
      </c>
      <c r="G225" s="12">
        <v>25000</v>
      </c>
      <c r="H225" s="12">
        <v>70000</v>
      </c>
      <c r="I225" s="16">
        <v>9</v>
      </c>
      <c r="J225" s="17" t="s">
        <v>978</v>
      </c>
    </row>
    <row r="226" spans="1:10" x14ac:dyDescent="0.25">
      <c r="A226" s="8">
        <v>32</v>
      </c>
      <c r="B226" s="9" t="s">
        <v>979</v>
      </c>
      <c r="C226" s="9" t="s">
        <v>980</v>
      </c>
      <c r="D226" s="9" t="s">
        <v>981</v>
      </c>
      <c r="E226" s="12">
        <v>350</v>
      </c>
      <c r="F226" s="12">
        <f t="shared" si="4"/>
        <v>4200</v>
      </c>
      <c r="G226" s="12">
        <v>18000</v>
      </c>
      <c r="H226" s="12">
        <v>50000</v>
      </c>
      <c r="I226" s="16">
        <v>5</v>
      </c>
      <c r="J226" s="17" t="s">
        <v>982</v>
      </c>
    </row>
    <row r="227" spans="1:10" x14ac:dyDescent="0.25">
      <c r="A227" s="8">
        <v>33</v>
      </c>
      <c r="B227" s="9" t="s">
        <v>803</v>
      </c>
      <c r="C227" s="9" t="s">
        <v>983</v>
      </c>
      <c r="D227" s="9" t="s">
        <v>984</v>
      </c>
      <c r="E227" s="12">
        <v>750</v>
      </c>
      <c r="F227" s="12">
        <f t="shared" ref="F227:F244" si="5">E227*12</f>
        <v>9000</v>
      </c>
      <c r="G227" s="12">
        <v>39000</v>
      </c>
      <c r="H227" s="12">
        <v>110000</v>
      </c>
      <c r="I227" s="16">
        <v>6</v>
      </c>
      <c r="J227" s="17" t="s">
        <v>985</v>
      </c>
    </row>
    <row r="228" spans="1:10" x14ac:dyDescent="0.25">
      <c r="A228" s="8">
        <v>34</v>
      </c>
      <c r="B228" s="9" t="s">
        <v>986</v>
      </c>
      <c r="C228" s="9" t="s">
        <v>987</v>
      </c>
      <c r="D228" s="9" t="s">
        <v>988</v>
      </c>
      <c r="E228" s="12">
        <v>145</v>
      </c>
      <c r="F228" s="12">
        <f t="shared" si="5"/>
        <v>1740</v>
      </c>
      <c r="G228" s="12">
        <v>7500</v>
      </c>
      <c r="H228" s="12">
        <v>21000</v>
      </c>
      <c r="I228" s="16">
        <v>4</v>
      </c>
      <c r="J228" s="17" t="s">
        <v>989</v>
      </c>
    </row>
    <row r="229" spans="1:10" x14ac:dyDescent="0.25">
      <c r="A229" s="8">
        <v>35</v>
      </c>
      <c r="B229" s="9" t="s">
        <v>614</v>
      </c>
      <c r="C229" s="9" t="s">
        <v>990</v>
      </c>
      <c r="D229" s="9" t="s">
        <v>991</v>
      </c>
      <c r="E229" s="12">
        <v>140</v>
      </c>
      <c r="F229" s="12">
        <f t="shared" si="5"/>
        <v>1680</v>
      </c>
      <c r="G229" s="12">
        <v>7500</v>
      </c>
      <c r="H229" s="12">
        <v>21000</v>
      </c>
      <c r="I229" s="16">
        <v>3</v>
      </c>
      <c r="J229" s="17" t="s">
        <v>992</v>
      </c>
    </row>
    <row r="230" spans="1:10" ht="30" x14ac:dyDescent="0.25">
      <c r="A230" s="8">
        <v>36</v>
      </c>
      <c r="B230" s="9" t="s">
        <v>647</v>
      </c>
      <c r="C230" s="9" t="s">
        <v>993</v>
      </c>
      <c r="D230" s="9" t="s">
        <v>994</v>
      </c>
      <c r="E230" s="12">
        <v>310</v>
      </c>
      <c r="F230" s="12">
        <f t="shared" si="5"/>
        <v>3720</v>
      </c>
      <c r="G230" s="12">
        <v>16000</v>
      </c>
      <c r="H230" s="12">
        <v>45000</v>
      </c>
      <c r="I230" s="16">
        <v>5</v>
      </c>
      <c r="J230" s="17" t="s">
        <v>995</v>
      </c>
    </row>
    <row r="231" spans="1:10" x14ac:dyDescent="0.25">
      <c r="A231" s="8">
        <v>37</v>
      </c>
      <c r="B231" s="9" t="s">
        <v>996</v>
      </c>
      <c r="C231" s="9" t="s">
        <v>997</v>
      </c>
      <c r="D231" s="9" t="s">
        <v>998</v>
      </c>
      <c r="E231" s="12">
        <v>160</v>
      </c>
      <c r="F231" s="12">
        <f t="shared" si="5"/>
        <v>1920</v>
      </c>
      <c r="G231" s="12">
        <v>8500</v>
      </c>
      <c r="H231" s="12">
        <v>24000</v>
      </c>
      <c r="I231" s="16">
        <v>4</v>
      </c>
      <c r="J231" s="17" t="s">
        <v>999</v>
      </c>
    </row>
    <row r="232" spans="1:10" x14ac:dyDescent="0.25">
      <c r="A232" s="8">
        <v>38</v>
      </c>
      <c r="B232" s="9" t="s">
        <v>1000</v>
      </c>
      <c r="C232" s="9" t="s">
        <v>1001</v>
      </c>
      <c r="D232" s="9" t="s">
        <v>1002</v>
      </c>
      <c r="E232" s="12">
        <v>175</v>
      </c>
      <c r="F232" s="12">
        <f t="shared" si="5"/>
        <v>2100</v>
      </c>
      <c r="G232" s="12">
        <v>9200</v>
      </c>
      <c r="H232" s="12">
        <v>26000</v>
      </c>
      <c r="I232" s="16">
        <v>4</v>
      </c>
      <c r="J232" s="17" t="s">
        <v>1003</v>
      </c>
    </row>
    <row r="233" spans="1:10" x14ac:dyDescent="0.25">
      <c r="A233" s="8">
        <v>39</v>
      </c>
      <c r="B233" s="9" t="s">
        <v>1004</v>
      </c>
      <c r="C233" s="9" t="s">
        <v>1005</v>
      </c>
      <c r="D233" s="9" t="s">
        <v>1006</v>
      </c>
      <c r="E233" s="12">
        <v>420</v>
      </c>
      <c r="F233" s="12">
        <f t="shared" si="5"/>
        <v>5040</v>
      </c>
      <c r="G233" s="12">
        <v>22000</v>
      </c>
      <c r="H233" s="12">
        <v>62000</v>
      </c>
      <c r="I233" s="16">
        <v>5</v>
      </c>
      <c r="J233" s="17" t="s">
        <v>1007</v>
      </c>
    </row>
    <row r="234" spans="1:10" x14ac:dyDescent="0.25">
      <c r="A234" s="8">
        <v>40</v>
      </c>
      <c r="B234" s="9" t="s">
        <v>1008</v>
      </c>
      <c r="C234" s="9" t="s">
        <v>1009</v>
      </c>
      <c r="D234" s="9" t="s">
        <v>1010</v>
      </c>
      <c r="E234" s="12">
        <v>380</v>
      </c>
      <c r="F234" s="12">
        <f t="shared" si="5"/>
        <v>4560</v>
      </c>
      <c r="G234" s="12">
        <v>20000</v>
      </c>
      <c r="H234" s="12">
        <v>56000</v>
      </c>
      <c r="I234" s="16">
        <v>5</v>
      </c>
      <c r="J234" s="17" t="s">
        <v>1011</v>
      </c>
    </row>
    <row r="235" spans="1:10" x14ac:dyDescent="0.25">
      <c r="A235" s="8">
        <v>41</v>
      </c>
      <c r="B235" s="9" t="s">
        <v>823</v>
      </c>
      <c r="C235" s="9" t="s">
        <v>1012</v>
      </c>
      <c r="D235" s="9" t="s">
        <v>1013</v>
      </c>
      <c r="E235" s="12">
        <v>95</v>
      </c>
      <c r="F235" s="12">
        <f t="shared" si="5"/>
        <v>1140</v>
      </c>
      <c r="G235" s="12">
        <v>5000</v>
      </c>
      <c r="H235" s="12">
        <v>14000</v>
      </c>
      <c r="I235" s="16">
        <v>4</v>
      </c>
      <c r="J235" s="17" t="s">
        <v>1014</v>
      </c>
    </row>
    <row r="236" spans="1:10" x14ac:dyDescent="0.25">
      <c r="A236" s="8">
        <v>42</v>
      </c>
      <c r="B236" s="9" t="s">
        <v>826</v>
      </c>
      <c r="C236" s="9" t="s">
        <v>1015</v>
      </c>
      <c r="D236" s="9" t="s">
        <v>1016</v>
      </c>
      <c r="E236" s="12">
        <v>220</v>
      </c>
      <c r="F236" s="12">
        <f t="shared" si="5"/>
        <v>2640</v>
      </c>
      <c r="G236" s="12">
        <v>11500</v>
      </c>
      <c r="H236" s="12">
        <v>33000</v>
      </c>
      <c r="I236" s="16">
        <v>6</v>
      </c>
      <c r="J236" s="17" t="s">
        <v>1017</v>
      </c>
    </row>
    <row r="237" spans="1:10" x14ac:dyDescent="0.25">
      <c r="A237" s="8">
        <v>43</v>
      </c>
      <c r="B237" s="9" t="s">
        <v>1018</v>
      </c>
      <c r="C237" s="9" t="s">
        <v>1019</v>
      </c>
      <c r="D237" s="9" t="s">
        <v>1020</v>
      </c>
      <c r="E237" s="12">
        <v>310</v>
      </c>
      <c r="F237" s="12">
        <f t="shared" si="5"/>
        <v>3720</v>
      </c>
      <c r="G237" s="12">
        <v>16000</v>
      </c>
      <c r="H237" s="12">
        <v>45000</v>
      </c>
      <c r="I237" s="16">
        <v>4</v>
      </c>
      <c r="J237" s="17" t="s">
        <v>1021</v>
      </c>
    </row>
    <row r="238" spans="1:10" x14ac:dyDescent="0.25">
      <c r="A238" s="8">
        <v>44</v>
      </c>
      <c r="B238" s="9" t="s">
        <v>832</v>
      </c>
      <c r="C238" s="9" t="s">
        <v>1022</v>
      </c>
      <c r="D238" s="9" t="s">
        <v>1023</v>
      </c>
      <c r="E238" s="12">
        <v>140</v>
      </c>
      <c r="F238" s="12">
        <f t="shared" si="5"/>
        <v>1680</v>
      </c>
      <c r="G238" s="12">
        <v>7500</v>
      </c>
      <c r="H238" s="12">
        <v>21000</v>
      </c>
      <c r="I238" s="16">
        <v>3</v>
      </c>
      <c r="J238" s="17" t="s">
        <v>1024</v>
      </c>
    </row>
    <row r="239" spans="1:10" x14ac:dyDescent="0.25">
      <c r="A239" s="8">
        <v>45</v>
      </c>
      <c r="B239" s="9" t="s">
        <v>835</v>
      </c>
      <c r="C239" s="9" t="s">
        <v>1025</v>
      </c>
      <c r="D239" s="9" t="s">
        <v>1026</v>
      </c>
      <c r="E239" s="12">
        <v>170</v>
      </c>
      <c r="F239" s="12">
        <f t="shared" si="5"/>
        <v>2040</v>
      </c>
      <c r="G239" s="12">
        <v>9000</v>
      </c>
      <c r="H239" s="12">
        <v>25000</v>
      </c>
      <c r="I239" s="16">
        <v>4</v>
      </c>
      <c r="J239" s="17" t="s">
        <v>1027</v>
      </c>
    </row>
    <row r="240" spans="1:10" x14ac:dyDescent="0.25">
      <c r="A240" s="8">
        <v>46</v>
      </c>
      <c r="B240" s="9" t="s">
        <v>1028</v>
      </c>
      <c r="C240" s="9" t="s">
        <v>1029</v>
      </c>
      <c r="D240" s="9" t="s">
        <v>1030</v>
      </c>
      <c r="E240" s="12">
        <v>280</v>
      </c>
      <c r="F240" s="12">
        <f t="shared" si="5"/>
        <v>3360</v>
      </c>
      <c r="G240" s="12">
        <v>14500</v>
      </c>
      <c r="H240" s="12">
        <v>41000</v>
      </c>
      <c r="I240" s="16">
        <v>5</v>
      </c>
      <c r="J240" s="17" t="s">
        <v>1031</v>
      </c>
    </row>
    <row r="241" spans="1:10" x14ac:dyDescent="0.25">
      <c r="A241" s="8">
        <v>47</v>
      </c>
      <c r="B241" s="9" t="s">
        <v>683</v>
      </c>
      <c r="C241" s="9" t="s">
        <v>1032</v>
      </c>
      <c r="D241" s="9" t="s">
        <v>1033</v>
      </c>
      <c r="E241" s="12">
        <v>180</v>
      </c>
      <c r="F241" s="12">
        <f t="shared" si="5"/>
        <v>2160</v>
      </c>
      <c r="G241" s="12">
        <v>9500</v>
      </c>
      <c r="H241" s="12">
        <v>27000</v>
      </c>
      <c r="I241" s="16">
        <v>3</v>
      </c>
      <c r="J241" s="17" t="s">
        <v>1034</v>
      </c>
    </row>
    <row r="242" spans="1:10" x14ac:dyDescent="0.25">
      <c r="A242" s="8">
        <v>48</v>
      </c>
      <c r="B242" s="9" t="s">
        <v>1035</v>
      </c>
      <c r="C242" s="9" t="s">
        <v>1036</v>
      </c>
      <c r="D242" s="9" t="s">
        <v>1037</v>
      </c>
      <c r="E242" s="12">
        <v>3800</v>
      </c>
      <c r="F242" s="12">
        <f t="shared" si="5"/>
        <v>45600</v>
      </c>
      <c r="G242" s="12">
        <v>196000</v>
      </c>
      <c r="H242" s="12">
        <v>580000</v>
      </c>
      <c r="I242" s="16">
        <v>12</v>
      </c>
      <c r="J242" s="17" t="s">
        <v>1038</v>
      </c>
    </row>
    <row r="243" spans="1:10" ht="30" x14ac:dyDescent="0.25">
      <c r="A243" s="8">
        <v>49</v>
      </c>
      <c r="B243" s="9" t="s">
        <v>846</v>
      </c>
      <c r="C243" s="9" t="s">
        <v>1039</v>
      </c>
      <c r="D243" s="9" t="s">
        <v>1040</v>
      </c>
      <c r="E243" s="12">
        <v>1600</v>
      </c>
      <c r="F243" s="12">
        <f t="shared" si="5"/>
        <v>19200</v>
      </c>
      <c r="G243" s="12">
        <v>82000</v>
      </c>
      <c r="H243" s="12">
        <v>240000</v>
      </c>
      <c r="I243" s="16">
        <v>10</v>
      </c>
      <c r="J243" s="17" t="s">
        <v>1041</v>
      </c>
    </row>
    <row r="244" spans="1:10" x14ac:dyDescent="0.25">
      <c r="A244" s="8">
        <v>50</v>
      </c>
      <c r="B244" s="9" t="s">
        <v>704</v>
      </c>
      <c r="C244" s="9" t="s">
        <v>1042</v>
      </c>
      <c r="D244" s="9" t="s">
        <v>1043</v>
      </c>
      <c r="E244" s="12">
        <v>2800</v>
      </c>
      <c r="F244" s="12">
        <f t="shared" si="5"/>
        <v>33600</v>
      </c>
      <c r="G244" s="12">
        <v>144000</v>
      </c>
      <c r="H244" s="12">
        <v>420000</v>
      </c>
      <c r="I244" s="16">
        <v>12</v>
      </c>
      <c r="J244" s="17" t="s">
        <v>1044</v>
      </c>
    </row>
    <row r="245" spans="1:10" x14ac:dyDescent="0.25">
      <c r="A245" s="7" t="s">
        <v>1045</v>
      </c>
      <c r="B245" s="7" t="s">
        <v>1046</v>
      </c>
      <c r="C245" s="7" t="s">
        <v>1047</v>
      </c>
      <c r="D245" s="7" t="s">
        <v>1048</v>
      </c>
      <c r="E245" s="14">
        <f>SUM(E195:E244)</f>
        <v>33420</v>
      </c>
      <c r="F245" s="14">
        <f>SUM(F195:F244)</f>
        <v>401040</v>
      </c>
      <c r="G245" s="14">
        <f>SUM(G195:G244)</f>
        <v>1735400</v>
      </c>
      <c r="H245" s="14">
        <f>SUM(H195:H244)</f>
        <v>5047000</v>
      </c>
      <c r="I245" s="18">
        <f>ROUND(AVERAGE(I195:I244),1)</f>
        <v>6.1</v>
      </c>
      <c r="J245" s="19" t="s">
        <v>1049</v>
      </c>
    </row>
    <row r="246" spans="1:10" x14ac:dyDescent="0.25">
      <c r="A246" s="7" t="s">
        <v>1050</v>
      </c>
      <c r="B246" s="7" t="s">
        <v>1051</v>
      </c>
      <c r="C246" s="9"/>
      <c r="D246" s="9"/>
      <c r="E246" s="14">
        <f>ROUND(AVERAGE(E195:E244),0)</f>
        <v>668</v>
      </c>
      <c r="F246" s="14">
        <f>ROUND(AVERAGE(F195:F244),0)</f>
        <v>8021</v>
      </c>
      <c r="G246" s="14">
        <f>ROUND(AVERAGE(G195:G244),0)</f>
        <v>34708</v>
      </c>
      <c r="H246" s="14">
        <f>ROUND(AVERAGE(H195:H244),0)</f>
        <v>100940</v>
      </c>
      <c r="I246" s="18">
        <f>ROUND(AVERAGE(I195:I244),1)</f>
        <v>6.1</v>
      </c>
      <c r="J246" s="9"/>
    </row>
    <row r="249" spans="1:10" ht="17.25" x14ac:dyDescent="0.25">
      <c r="A249" s="24" t="s">
        <v>1052</v>
      </c>
      <c r="B249" s="24"/>
      <c r="C249" s="24"/>
      <c r="D249" s="24"/>
      <c r="E249" s="24"/>
      <c r="F249" s="24"/>
      <c r="G249" s="24"/>
      <c r="H249" s="24"/>
    </row>
    <row r="250" spans="1:10" x14ac:dyDescent="0.25">
      <c r="A250" s="25" t="s">
        <v>1315</v>
      </c>
      <c r="B250" s="25"/>
      <c r="C250" s="25"/>
      <c r="D250" s="25"/>
      <c r="E250" s="25"/>
      <c r="F250" s="25"/>
      <c r="G250" s="25"/>
      <c r="H250" s="25"/>
    </row>
    <row r="251" spans="1:10" x14ac:dyDescent="0.25">
      <c r="A251" s="6" t="s">
        <v>1053</v>
      </c>
      <c r="B251" s="7" t="s">
        <v>1054</v>
      </c>
      <c r="C251" s="7" t="s">
        <v>1055</v>
      </c>
      <c r="D251" s="7" t="s">
        <v>1056</v>
      </c>
      <c r="E251" s="7" t="s">
        <v>1057</v>
      </c>
      <c r="F251" s="7" t="s">
        <v>1058</v>
      </c>
      <c r="G251" s="7" t="s">
        <v>1059</v>
      </c>
      <c r="H251" s="7" t="s">
        <v>1060</v>
      </c>
    </row>
    <row r="252" spans="1:10" ht="45" x14ac:dyDescent="0.25">
      <c r="A252" s="6">
        <v>2030</v>
      </c>
      <c r="B252" s="7" t="s">
        <v>1061</v>
      </c>
      <c r="C252" s="7" t="s">
        <v>1062</v>
      </c>
      <c r="D252" s="9" t="s">
        <v>1063</v>
      </c>
      <c r="E252" s="9" t="s">
        <v>1064</v>
      </c>
      <c r="F252" s="9" t="s">
        <v>1065</v>
      </c>
      <c r="G252" s="9" t="s">
        <v>1066</v>
      </c>
      <c r="H252" s="9" t="s">
        <v>1067</v>
      </c>
    </row>
    <row r="253" spans="1:10" ht="30" x14ac:dyDescent="0.25">
      <c r="A253" s="6">
        <v>2030</v>
      </c>
      <c r="B253" s="9" t="s">
        <v>288</v>
      </c>
      <c r="C253" s="9" t="s">
        <v>1068</v>
      </c>
      <c r="D253" s="9" t="s">
        <v>1069</v>
      </c>
      <c r="E253" s="9" t="s">
        <v>1070</v>
      </c>
      <c r="F253" s="9" t="s">
        <v>1071</v>
      </c>
      <c r="G253" s="9" t="s">
        <v>1072</v>
      </c>
      <c r="H253" s="9" t="s">
        <v>1073</v>
      </c>
    </row>
    <row r="254" spans="1:10" ht="30" x14ac:dyDescent="0.25">
      <c r="A254" s="6">
        <v>2030</v>
      </c>
      <c r="B254" s="9" t="s">
        <v>887</v>
      </c>
      <c r="C254" s="9" t="s">
        <v>1074</v>
      </c>
      <c r="D254" s="9" t="s">
        <v>1075</v>
      </c>
      <c r="E254" s="9" t="s">
        <v>1076</v>
      </c>
      <c r="F254" s="9" t="s">
        <v>1077</v>
      </c>
      <c r="G254" s="9" t="s">
        <v>1078</v>
      </c>
      <c r="H254" s="9" t="s">
        <v>1079</v>
      </c>
    </row>
    <row r="255" spans="1:10" ht="30" x14ac:dyDescent="0.25">
      <c r="A255" s="6">
        <v>2030</v>
      </c>
      <c r="B255" s="9" t="s">
        <v>891</v>
      </c>
      <c r="C255" s="9" t="s">
        <v>1080</v>
      </c>
      <c r="D255" s="9" t="s">
        <v>1081</v>
      </c>
      <c r="E255" s="9" t="s">
        <v>1082</v>
      </c>
      <c r="F255" s="9" t="s">
        <v>1083</v>
      </c>
      <c r="G255" s="9" t="s">
        <v>1084</v>
      </c>
      <c r="H255" s="9" t="s">
        <v>1085</v>
      </c>
    </row>
    <row r="256" spans="1:10" ht="30" x14ac:dyDescent="0.25">
      <c r="A256" s="6">
        <v>2030</v>
      </c>
      <c r="B256" s="9" t="s">
        <v>1086</v>
      </c>
      <c r="C256" s="9" t="s">
        <v>1087</v>
      </c>
      <c r="D256" s="9" t="s">
        <v>1088</v>
      </c>
      <c r="E256" s="9" t="s">
        <v>1089</v>
      </c>
      <c r="F256" s="9" t="s">
        <v>1090</v>
      </c>
      <c r="G256" s="9" t="s">
        <v>1091</v>
      </c>
      <c r="H256" s="9" t="s">
        <v>1092</v>
      </c>
    </row>
    <row r="257" spans="1:8" ht="30" x14ac:dyDescent="0.25">
      <c r="A257" s="6">
        <v>2050</v>
      </c>
      <c r="B257" s="7" t="s">
        <v>1093</v>
      </c>
      <c r="C257" s="7" t="s">
        <v>1094</v>
      </c>
      <c r="D257" s="9" t="s">
        <v>1095</v>
      </c>
      <c r="E257" s="9" t="s">
        <v>1096</v>
      </c>
      <c r="F257" s="9" t="s">
        <v>1097</v>
      </c>
      <c r="G257" s="9" t="s">
        <v>1098</v>
      </c>
      <c r="H257" s="9" t="s">
        <v>1099</v>
      </c>
    </row>
    <row r="258" spans="1:8" ht="45" x14ac:dyDescent="0.25">
      <c r="A258" s="6">
        <v>2050</v>
      </c>
      <c r="B258" s="9" t="s">
        <v>599</v>
      </c>
      <c r="C258" s="9" t="s">
        <v>1100</v>
      </c>
      <c r="D258" s="9" t="s">
        <v>1101</v>
      </c>
      <c r="E258" s="9" t="s">
        <v>1102</v>
      </c>
      <c r="F258" s="9" t="s">
        <v>1103</v>
      </c>
      <c r="G258" s="9" t="s">
        <v>1104</v>
      </c>
      <c r="H258" s="9" t="s">
        <v>1105</v>
      </c>
    </row>
    <row r="259" spans="1:8" ht="45" x14ac:dyDescent="0.25">
      <c r="A259" s="6">
        <v>2050</v>
      </c>
      <c r="B259" s="9" t="s">
        <v>1106</v>
      </c>
      <c r="C259" s="9" t="s">
        <v>1107</v>
      </c>
      <c r="D259" s="9" t="s">
        <v>1108</v>
      </c>
      <c r="E259" s="9" t="s">
        <v>1109</v>
      </c>
      <c r="F259" s="9" t="s">
        <v>1110</v>
      </c>
      <c r="G259" s="9" t="s">
        <v>1111</v>
      </c>
      <c r="H259" s="9" t="s">
        <v>1112</v>
      </c>
    </row>
    <row r="260" spans="1:8" ht="30" x14ac:dyDescent="0.25">
      <c r="A260" s="6">
        <v>2050</v>
      </c>
      <c r="B260" s="9" t="s">
        <v>1113</v>
      </c>
      <c r="C260" s="9" t="s">
        <v>1114</v>
      </c>
      <c r="D260" s="9" t="s">
        <v>1115</v>
      </c>
      <c r="E260" s="9" t="s">
        <v>1116</v>
      </c>
      <c r="F260" s="9" t="s">
        <v>1117</v>
      </c>
      <c r="G260" s="9" t="s">
        <v>1118</v>
      </c>
      <c r="H260" s="9" t="s">
        <v>1119</v>
      </c>
    </row>
    <row r="261" spans="1:8" ht="30" x14ac:dyDescent="0.25">
      <c r="A261" s="6">
        <v>2050</v>
      </c>
      <c r="B261" s="9" t="s">
        <v>1120</v>
      </c>
      <c r="C261" s="9" t="s">
        <v>1121</v>
      </c>
      <c r="D261" s="9" t="s">
        <v>1122</v>
      </c>
      <c r="E261" s="9" t="s">
        <v>1123</v>
      </c>
      <c r="F261" s="9" t="s">
        <v>1124</v>
      </c>
      <c r="G261" s="9" t="s">
        <v>1125</v>
      </c>
      <c r="H261" s="9" t="s">
        <v>1126</v>
      </c>
    </row>
    <row r="262" spans="1:8" ht="45" x14ac:dyDescent="0.25">
      <c r="A262" s="6">
        <v>2100</v>
      </c>
      <c r="B262" s="7" t="s">
        <v>1127</v>
      </c>
      <c r="C262" s="7" t="s">
        <v>1128</v>
      </c>
      <c r="D262" s="9" t="s">
        <v>1129</v>
      </c>
      <c r="E262" s="9" t="s">
        <v>1130</v>
      </c>
      <c r="F262" s="9" t="s">
        <v>1131</v>
      </c>
      <c r="G262" s="9" t="s">
        <v>1132</v>
      </c>
      <c r="H262" s="9" t="s">
        <v>1133</v>
      </c>
    </row>
    <row r="263" spans="1:8" ht="45" x14ac:dyDescent="0.25">
      <c r="A263" s="6">
        <v>2100</v>
      </c>
      <c r="B263" s="9" t="s">
        <v>1134</v>
      </c>
      <c r="C263" s="9" t="s">
        <v>1135</v>
      </c>
      <c r="D263" s="9" t="s">
        <v>1136</v>
      </c>
      <c r="E263" s="9" t="s">
        <v>1137</v>
      </c>
      <c r="F263" s="9" t="s">
        <v>1138</v>
      </c>
      <c r="G263" s="9" t="s">
        <v>1139</v>
      </c>
      <c r="H263" s="9" t="s">
        <v>1140</v>
      </c>
    </row>
    <row r="264" spans="1:8" ht="45" x14ac:dyDescent="0.25">
      <c r="A264" s="6">
        <v>2100</v>
      </c>
      <c r="B264" s="9" t="s">
        <v>1141</v>
      </c>
      <c r="C264" s="9" t="s">
        <v>1142</v>
      </c>
      <c r="D264" s="9" t="s">
        <v>1143</v>
      </c>
      <c r="E264" s="9" t="s">
        <v>1144</v>
      </c>
      <c r="F264" s="9" t="s">
        <v>1145</v>
      </c>
      <c r="G264" s="9" t="s">
        <v>1146</v>
      </c>
      <c r="H264" s="9" t="s">
        <v>1147</v>
      </c>
    </row>
    <row r="265" spans="1:8" ht="45" x14ac:dyDescent="0.25">
      <c r="A265" s="6">
        <v>2100</v>
      </c>
      <c r="B265" s="9" t="s">
        <v>1148</v>
      </c>
      <c r="C265" s="9" t="s">
        <v>1149</v>
      </c>
      <c r="D265" s="9" t="s">
        <v>1150</v>
      </c>
      <c r="E265" s="9" t="s">
        <v>1151</v>
      </c>
      <c r="F265" s="9" t="s">
        <v>1152</v>
      </c>
      <c r="G265" s="9" t="s">
        <v>1153</v>
      </c>
      <c r="H265" s="9" t="s">
        <v>1154</v>
      </c>
    </row>
    <row r="266" spans="1:8" ht="45" x14ac:dyDescent="0.25">
      <c r="A266" s="6">
        <v>2150</v>
      </c>
      <c r="B266" s="7" t="s">
        <v>1155</v>
      </c>
      <c r="C266" s="7" t="s">
        <v>1156</v>
      </c>
      <c r="D266" s="9" t="s">
        <v>1157</v>
      </c>
      <c r="E266" s="9" t="s">
        <v>1158</v>
      </c>
      <c r="F266" s="9" t="s">
        <v>1159</v>
      </c>
      <c r="G266" s="9" t="s">
        <v>1160</v>
      </c>
      <c r="H266" s="9" t="s">
        <v>1161</v>
      </c>
    </row>
    <row r="267" spans="1:8" ht="30" x14ac:dyDescent="0.25">
      <c r="A267" s="6">
        <v>2150</v>
      </c>
      <c r="B267" s="9" t="s">
        <v>1162</v>
      </c>
      <c r="C267" s="9" t="s">
        <v>1163</v>
      </c>
      <c r="D267" s="9" t="s">
        <v>1164</v>
      </c>
      <c r="E267" s="9" t="s">
        <v>1165</v>
      </c>
      <c r="F267" s="9" t="s">
        <v>1138</v>
      </c>
      <c r="G267" s="9" t="s">
        <v>1166</v>
      </c>
      <c r="H267" s="9" t="s">
        <v>1167</v>
      </c>
    </row>
    <row r="268" spans="1:8" ht="30" x14ac:dyDescent="0.25">
      <c r="A268" s="6">
        <v>2150</v>
      </c>
      <c r="B268" s="9" t="s">
        <v>1168</v>
      </c>
      <c r="C268" s="9" t="s">
        <v>1169</v>
      </c>
      <c r="D268" s="9" t="s">
        <v>1170</v>
      </c>
      <c r="E268" s="9" t="s">
        <v>1171</v>
      </c>
      <c r="F268" s="9" t="s">
        <v>1172</v>
      </c>
      <c r="G268" s="9" t="s">
        <v>1173</v>
      </c>
      <c r="H268" s="9" t="s">
        <v>1174</v>
      </c>
    </row>
    <row r="269" spans="1:8" ht="45" x14ac:dyDescent="0.25">
      <c r="A269" s="6">
        <v>2150</v>
      </c>
      <c r="B269" s="9" t="s">
        <v>1175</v>
      </c>
      <c r="C269" s="9" t="s">
        <v>1176</v>
      </c>
      <c r="D269" s="9" t="s">
        <v>1177</v>
      </c>
      <c r="E269" s="9" t="s">
        <v>1178</v>
      </c>
      <c r="F269" s="9" t="s">
        <v>1179</v>
      </c>
      <c r="G269" s="9" t="s">
        <v>1180</v>
      </c>
      <c r="H269" s="9" t="s">
        <v>1181</v>
      </c>
    </row>
    <row r="270" spans="1:8" ht="45" x14ac:dyDescent="0.25">
      <c r="A270" s="6">
        <v>2200</v>
      </c>
      <c r="B270" s="7" t="s">
        <v>1182</v>
      </c>
      <c r="C270" s="7" t="s">
        <v>1183</v>
      </c>
      <c r="D270" s="9" t="s">
        <v>1184</v>
      </c>
      <c r="E270" s="9" t="s">
        <v>1185</v>
      </c>
      <c r="F270" s="9" t="s">
        <v>1186</v>
      </c>
      <c r="G270" s="9" t="s">
        <v>1187</v>
      </c>
      <c r="H270" s="9" t="s">
        <v>1188</v>
      </c>
    </row>
    <row r="271" spans="1:8" ht="45" x14ac:dyDescent="0.25">
      <c r="A271" s="6">
        <v>2200</v>
      </c>
      <c r="B271" s="9" t="s">
        <v>1189</v>
      </c>
      <c r="C271" s="9" t="s">
        <v>1190</v>
      </c>
      <c r="D271" s="9" t="s">
        <v>1191</v>
      </c>
      <c r="E271" s="9" t="s">
        <v>1192</v>
      </c>
      <c r="F271" s="9" t="s">
        <v>1193</v>
      </c>
      <c r="G271" s="9" t="s">
        <v>1194</v>
      </c>
      <c r="H271" s="9" t="s">
        <v>1195</v>
      </c>
    </row>
    <row r="272" spans="1:8" ht="30" x14ac:dyDescent="0.25">
      <c r="A272" s="6">
        <v>2200</v>
      </c>
      <c r="B272" s="9" t="s">
        <v>1196</v>
      </c>
      <c r="C272" s="9" t="s">
        <v>1197</v>
      </c>
      <c r="D272" s="9" t="s">
        <v>1198</v>
      </c>
      <c r="E272" s="9" t="s">
        <v>1199</v>
      </c>
      <c r="F272" s="9" t="s">
        <v>1200</v>
      </c>
      <c r="G272" s="9" t="s">
        <v>1201</v>
      </c>
      <c r="H272" s="9" t="s">
        <v>1202</v>
      </c>
    </row>
    <row r="273" spans="1:8" ht="45" x14ac:dyDescent="0.25">
      <c r="A273" s="6">
        <v>2200</v>
      </c>
      <c r="B273" s="9" t="s">
        <v>1203</v>
      </c>
      <c r="C273" s="9" t="s">
        <v>1204</v>
      </c>
      <c r="D273" s="9" t="s">
        <v>1205</v>
      </c>
      <c r="E273" s="9" t="s">
        <v>1206</v>
      </c>
      <c r="F273" s="9" t="s">
        <v>1207</v>
      </c>
      <c r="G273" s="9" t="s">
        <v>1208</v>
      </c>
      <c r="H273" s="9" t="s">
        <v>1209</v>
      </c>
    </row>
    <row r="277" spans="1:8" ht="17.25" x14ac:dyDescent="0.25">
      <c r="A277" s="24" t="s">
        <v>1210</v>
      </c>
      <c r="B277" s="24"/>
      <c r="C277" s="24"/>
      <c r="D277" s="24"/>
      <c r="E277" s="24"/>
      <c r="F277" s="24"/>
      <c r="G277" s="24"/>
    </row>
    <row r="278" spans="1:8" x14ac:dyDescent="0.25">
      <c r="A278" s="25" t="s">
        <v>1211</v>
      </c>
      <c r="B278" s="25"/>
      <c r="C278" s="25"/>
      <c r="D278" s="25"/>
      <c r="E278" s="25"/>
      <c r="F278" s="25"/>
      <c r="G278" s="25"/>
    </row>
    <row r="279" spans="1:8" x14ac:dyDescent="0.25">
      <c r="A279" s="6" t="s">
        <v>1053</v>
      </c>
      <c r="B279" s="7" t="s">
        <v>1212</v>
      </c>
      <c r="C279" s="7" t="s">
        <v>1213</v>
      </c>
      <c r="D279" s="7" t="s">
        <v>1214</v>
      </c>
      <c r="E279" s="7" t="s">
        <v>1215</v>
      </c>
      <c r="F279" s="7" t="s">
        <v>1216</v>
      </c>
      <c r="G279" s="7" t="s">
        <v>1217</v>
      </c>
    </row>
    <row r="280" spans="1:8" ht="30" x14ac:dyDescent="0.25">
      <c r="A280" s="6" t="s">
        <v>1218</v>
      </c>
      <c r="B280" s="7" t="s">
        <v>1219</v>
      </c>
      <c r="C280" s="9" t="s">
        <v>1220</v>
      </c>
      <c r="D280" s="9" t="s">
        <v>1221</v>
      </c>
      <c r="E280" s="9" t="s">
        <v>1222</v>
      </c>
      <c r="F280" s="9" t="s">
        <v>1223</v>
      </c>
      <c r="G280" s="9" t="s">
        <v>1224</v>
      </c>
    </row>
    <row r="281" spans="1:8" ht="30" x14ac:dyDescent="0.25">
      <c r="A281" s="6" t="s">
        <v>1225</v>
      </c>
      <c r="B281" s="7" t="s">
        <v>1226</v>
      </c>
      <c r="C281" s="9" t="s">
        <v>1227</v>
      </c>
      <c r="D281" s="9" t="s">
        <v>1228</v>
      </c>
      <c r="E281" s="9" t="s">
        <v>1229</v>
      </c>
      <c r="F281" s="9" t="s">
        <v>1230</v>
      </c>
      <c r="G281" s="9" t="s">
        <v>1231</v>
      </c>
    </row>
    <row r="282" spans="1:8" ht="30" x14ac:dyDescent="0.25">
      <c r="A282" s="6" t="s">
        <v>1232</v>
      </c>
      <c r="B282" s="7" t="s">
        <v>1233</v>
      </c>
      <c r="C282" s="9" t="s">
        <v>1234</v>
      </c>
      <c r="D282" s="9" t="s">
        <v>1235</v>
      </c>
      <c r="E282" s="9" t="s">
        <v>1236</v>
      </c>
      <c r="F282" s="9" t="s">
        <v>1237</v>
      </c>
      <c r="G282" s="9" t="s">
        <v>1238</v>
      </c>
    </row>
    <row r="283" spans="1:8" ht="30" x14ac:dyDescent="0.25">
      <c r="A283" s="6" t="s">
        <v>1239</v>
      </c>
      <c r="B283" s="7" t="s">
        <v>1240</v>
      </c>
      <c r="C283" s="9" t="s">
        <v>1241</v>
      </c>
      <c r="D283" s="9" t="s">
        <v>1242</v>
      </c>
      <c r="E283" s="9" t="s">
        <v>1243</v>
      </c>
      <c r="F283" s="9" t="s">
        <v>1244</v>
      </c>
      <c r="G283" s="9" t="s">
        <v>1245</v>
      </c>
    </row>
    <row r="284" spans="1:8" ht="30" x14ac:dyDescent="0.25">
      <c r="A284" s="6" t="s">
        <v>1246</v>
      </c>
      <c r="B284" s="7" t="s">
        <v>1247</v>
      </c>
      <c r="C284" s="9" t="s">
        <v>1248</v>
      </c>
      <c r="D284" s="9" t="s">
        <v>1249</v>
      </c>
      <c r="E284" s="9" t="s">
        <v>1250</v>
      </c>
      <c r="F284" s="9" t="s">
        <v>1251</v>
      </c>
      <c r="G284" s="9" t="s">
        <v>1252</v>
      </c>
    </row>
    <row r="285" spans="1:8" ht="30" x14ac:dyDescent="0.25">
      <c r="A285" s="6" t="s">
        <v>1253</v>
      </c>
      <c r="B285" s="7" t="s">
        <v>1254</v>
      </c>
      <c r="C285" s="9" t="s">
        <v>1255</v>
      </c>
      <c r="D285" s="9" t="s">
        <v>1256</v>
      </c>
      <c r="E285" s="9" t="s">
        <v>1257</v>
      </c>
      <c r="F285" s="9" t="s">
        <v>1258</v>
      </c>
      <c r="G285" s="9" t="s">
        <v>1259</v>
      </c>
    </row>
    <row r="286" spans="1:8" ht="30" x14ac:dyDescent="0.25">
      <c r="A286" s="6" t="s">
        <v>1260</v>
      </c>
      <c r="B286" s="7" t="s">
        <v>1261</v>
      </c>
      <c r="C286" s="9" t="s">
        <v>1262</v>
      </c>
      <c r="D286" s="9" t="s">
        <v>1263</v>
      </c>
      <c r="E286" s="9" t="s">
        <v>1264</v>
      </c>
      <c r="F286" s="9" t="s">
        <v>1265</v>
      </c>
      <c r="G286" s="9" t="s">
        <v>1266</v>
      </c>
    </row>
    <row r="287" spans="1:8" x14ac:dyDescent="0.25">
      <c r="A287" s="26" t="s">
        <v>1267</v>
      </c>
      <c r="B287" s="26"/>
      <c r="C287" s="26"/>
      <c r="D287" s="26"/>
      <c r="E287" s="26"/>
      <c r="F287" s="26"/>
      <c r="G287" s="26"/>
    </row>
    <row r="288" spans="1:8" x14ac:dyDescent="0.25">
      <c r="A288" s="6" t="s">
        <v>1268</v>
      </c>
      <c r="B288" s="6" t="s">
        <v>1269</v>
      </c>
      <c r="C288" s="6" t="s">
        <v>1270</v>
      </c>
      <c r="D288" s="6" t="s">
        <v>1271</v>
      </c>
      <c r="E288" s="7" t="s">
        <v>1272</v>
      </c>
      <c r="F288" s="7" t="s">
        <v>1273</v>
      </c>
      <c r="G288" s="7" t="s">
        <v>1274</v>
      </c>
    </row>
    <row r="289" spans="1:8" x14ac:dyDescent="0.25">
      <c r="A289" s="8" t="s">
        <v>1275</v>
      </c>
      <c r="B289" s="8" t="s">
        <v>1276</v>
      </c>
      <c r="C289" s="8" t="s">
        <v>1276</v>
      </c>
      <c r="D289" s="8" t="s">
        <v>1276</v>
      </c>
      <c r="E289" s="8" t="s">
        <v>1277</v>
      </c>
      <c r="F289" s="8" t="s">
        <v>1278</v>
      </c>
      <c r="G289" s="22" t="s">
        <v>1279</v>
      </c>
    </row>
    <row r="290" spans="1:8" x14ac:dyDescent="0.25">
      <c r="A290" s="8">
        <v>2030</v>
      </c>
      <c r="B290" s="8" t="s">
        <v>1280</v>
      </c>
      <c r="C290" s="8" t="s">
        <v>1281</v>
      </c>
      <c r="D290" s="8" t="s">
        <v>1282</v>
      </c>
      <c r="E290" s="9" t="s">
        <v>1283</v>
      </c>
      <c r="F290" s="9" t="s">
        <v>1284</v>
      </c>
      <c r="G290" s="22" t="s">
        <v>1285</v>
      </c>
    </row>
    <row r="291" spans="1:8" x14ac:dyDescent="0.25">
      <c r="A291" s="8">
        <v>2040</v>
      </c>
      <c r="B291" s="8" t="s">
        <v>1286</v>
      </c>
      <c r="C291" s="8" t="s">
        <v>1287</v>
      </c>
      <c r="D291" s="8" t="s">
        <v>1288</v>
      </c>
      <c r="E291" s="9" t="s">
        <v>1289</v>
      </c>
      <c r="F291" s="9" t="s">
        <v>1290</v>
      </c>
      <c r="G291" s="22" t="s">
        <v>1291</v>
      </c>
    </row>
    <row r="292" spans="1:8" x14ac:dyDescent="0.25">
      <c r="A292" s="8">
        <v>2050</v>
      </c>
      <c r="B292" s="8" t="s">
        <v>1287</v>
      </c>
      <c r="C292" s="8" t="s">
        <v>1292</v>
      </c>
      <c r="D292" s="8" t="s">
        <v>1293</v>
      </c>
      <c r="E292" s="9" t="s">
        <v>1294</v>
      </c>
      <c r="F292" s="9" t="s">
        <v>1295</v>
      </c>
      <c r="G292" s="22" t="s">
        <v>1296</v>
      </c>
    </row>
    <row r="293" spans="1:8" x14ac:dyDescent="0.25">
      <c r="A293" s="8">
        <v>2075</v>
      </c>
      <c r="B293" s="8" t="s">
        <v>1297</v>
      </c>
      <c r="C293" s="8" t="s">
        <v>1298</v>
      </c>
      <c r="D293" s="8" t="s">
        <v>1299</v>
      </c>
      <c r="E293" s="9" t="s">
        <v>1300</v>
      </c>
      <c r="F293" s="9" t="s">
        <v>1301</v>
      </c>
      <c r="G293" s="22" t="s">
        <v>1302</v>
      </c>
    </row>
    <row r="294" spans="1:8" x14ac:dyDescent="0.25">
      <c r="A294" s="8">
        <v>2100</v>
      </c>
      <c r="B294" s="8" t="s">
        <v>1303</v>
      </c>
      <c r="C294" s="8" t="s">
        <v>1304</v>
      </c>
      <c r="D294" s="8" t="s">
        <v>1305</v>
      </c>
      <c r="E294" s="9" t="s">
        <v>1306</v>
      </c>
      <c r="F294" s="9" t="s">
        <v>1307</v>
      </c>
      <c r="G294" s="22" t="s">
        <v>1308</v>
      </c>
    </row>
    <row r="295" spans="1:8" x14ac:dyDescent="0.25">
      <c r="A295" s="8">
        <v>2200</v>
      </c>
      <c r="B295" s="8" t="s">
        <v>1309</v>
      </c>
      <c r="C295" s="6" t="s">
        <v>1310</v>
      </c>
      <c r="D295" s="8" t="s">
        <v>1311</v>
      </c>
      <c r="E295" s="9" t="s">
        <v>1312</v>
      </c>
      <c r="F295" s="9" t="s">
        <v>1313</v>
      </c>
      <c r="G295" s="21" t="s">
        <v>1314</v>
      </c>
      <c r="H295" s="20" t="s">
        <v>1316</v>
      </c>
    </row>
  </sheetData>
  <mergeCells count="15">
    <mergeCell ref="A193:J193"/>
    <mergeCell ref="A1:H1"/>
    <mergeCell ref="A22:G22"/>
    <mergeCell ref="A23:G23"/>
    <mergeCell ref="A75:G75"/>
    <mergeCell ref="A78:I78"/>
    <mergeCell ref="A79:I79"/>
    <mergeCell ref="A135:I135"/>
    <mergeCell ref="A136:I136"/>
    <mergeCell ref="A192:J192"/>
    <mergeCell ref="A249:H249"/>
    <mergeCell ref="A250:H250"/>
    <mergeCell ref="A277:G277"/>
    <mergeCell ref="A278:G278"/>
    <mergeCell ref="A287:G287"/>
  </mergeCells>
  <pageMargins left="0.7" right="0.7" top="0.75" bottom="0.75" header="0.3" footer="0.3"/>
  <pageSetup paperSize="9" scale="10" orientation="portrait" horizontalDpi="1200" verticalDpi="1200" r:id="rId1"/>
  <rowBreaks count="1" manualBreakCount="1">
    <brk id="18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Papirüs1</vt:lpstr>
      <vt:lpstr>Hayaller_Gerçekler_Tuhaflıklar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cp:lastPrinted>2026-04-30T10:34:37Z</cp:lastPrinted>
  <dcterms:created xsi:type="dcterms:W3CDTF">2026-04-30T08:51:36Z</dcterms:created>
  <dcterms:modified xsi:type="dcterms:W3CDTF">2026-04-30T13:49:56Z</dcterms:modified>
</cp:coreProperties>
</file>