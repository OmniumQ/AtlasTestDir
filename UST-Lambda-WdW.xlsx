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21325CCF-8EB3-44ED-9102-8BFCFAA5FAA6}" xr6:coauthVersionLast="47" xr6:coauthVersionMax="47" xr10:uidLastSave="{00000000-0000-0000-0000-000000000000}"/>
  <bookViews>
    <workbookView xWindow="-120" yWindow="-120" windowWidth="29040" windowHeight="15720" xr2:uid="{54F0E634-7674-4CD3-AB71-D762C4EB4D7B}"/>
  </bookViews>
  <sheets>
    <sheet name="UST-Lambda-Wd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9" i="1" l="1"/>
  <c r="C39" i="1"/>
  <c r="D35" i="1"/>
  <c r="C35" i="1"/>
  <c r="D32" i="1"/>
  <c r="D34" i="1" s="1"/>
  <c r="C32" i="1"/>
  <c r="D36" i="1" l="1"/>
  <c r="C36" i="1"/>
  <c r="C34" i="1"/>
  <c r="D37" i="1" l="1"/>
  <c r="D38" i="1" s="1"/>
  <c r="C37" i="1"/>
  <c r="C42" i="1" l="1"/>
  <c r="D42" i="1"/>
  <c r="C38" i="1"/>
  <c r="D43" i="1" l="1"/>
  <c r="C43" i="1"/>
  <c r="D45" i="1" l="1"/>
  <c r="C45" i="1"/>
</calcChain>
</file>

<file path=xl/sharedStrings.xml><?xml version="1.0" encoding="utf-8"?>
<sst xmlns="http://schemas.openxmlformats.org/spreadsheetml/2006/main" count="161" uniqueCount="140">
  <si>
    <t>UST v5: Λ PROBLEMİ &amp; WHEELER-DEWITT ÇÖZÜM</t>
  </si>
  <si>
    <t>Wilsonian RG + WKB/Hartle-Hawking | 23 Nisan 2026</t>
  </si>
  <si>
    <t>BÖLÜM 1: Λ PROBLEMİ - RG AKIŞI</t>
  </si>
  <si>
    <t>Kavram</t>
  </si>
  <si>
    <t>Formül</t>
  </si>
  <si>
    <t>UST Katkı</t>
  </si>
  <si>
    <t>Değer</t>
  </si>
  <si>
    <t>Durum</t>
  </si>
  <si>
    <t>Problem Tanımı</t>
  </si>
  <si>
    <t>Λ_QFT &gt;&gt; Λ_gözlem</t>
  </si>
  <si>
    <t>10^120 fark</t>
  </si>
  <si>
    <t>115 sıra</t>
  </si>
  <si>
    <t>⚠️ AÇIK</t>
  </si>
  <si>
    <t>Wilsonian RG</t>
  </si>
  <si>
    <t>∂Λ/∂μ = β_Λ(g,m,μ)</t>
  </si>
  <si>
    <t>β_UST=(α/17)·β</t>
  </si>
  <si>
    <t>Boyutsuz</t>
  </si>
  <si>
    <t>✅</t>
  </si>
  <si>
    <t>Vakum Enerji</t>
  </si>
  <si>
    <t>ρ_vac = m⁴/(64π²)·ln</t>
  </si>
  <si>
    <t>ρ_UST=ρ_P·(α/17)·TOm</t>
  </si>
  <si>
    <t>~10⁻⁵ρ_P</t>
  </si>
  <si>
    <t>⚠️</t>
  </si>
  <si>
    <t>Decoupling</t>
  </si>
  <si>
    <t>μ²/M² baskılama</t>
  </si>
  <si>
    <t>M→M(1+Ns,q/17)</t>
  </si>
  <si>
    <t>Yetersiz</t>
  </si>
  <si>
    <t>❌</t>
  </si>
  <si>
    <t>Fine-Tuning</t>
  </si>
  <si>
    <t>ΣN_i·m_i²=0</t>
  </si>
  <si>
    <t>17-norm korunumu</t>
  </si>
  <si>
    <t>m_H≈550GeV</t>
  </si>
  <si>
    <t>BÖLÜM 2: UST Λ ÇÖZÜM MEKANİZMASI</t>
  </si>
  <si>
    <t>Mekanizma</t>
  </si>
  <si>
    <t>Baskılama</t>
  </si>
  <si>
    <t>Sonuç</t>
  </si>
  <si>
    <t>Öncelik</t>
  </si>
  <si>
    <t>Omnium Vakum</t>
  </si>
  <si>
    <t>Λ_Ω=8πG·ρ_Ω·(α/17)·TOm</t>
  </si>
  <si>
    <t>YETERSİZ</t>
  </si>
  <si>
    <t>KRİTİK</t>
  </si>
  <si>
    <t>17-Norm</t>
  </si>
  <si>
    <t>Tr₁₇[Λ]=Λ·(1-16/17)</t>
  </si>
  <si>
    <t>1/17≈0.059</t>
  </si>
  <si>
    <t>KISMI</t>
  </si>
  <si>
    <t>YÜKSEK</t>
  </si>
  <si>
    <t>TOm Tünel</t>
  </si>
  <si>
    <t>Λ_obs=Λ·exp(-2π·Ns,q·Ccb)</t>
  </si>
  <si>
    <t>Zincir Baskılama</t>
  </si>
  <si>
    <t>Λ=(α/17)·(1/17)·TOm·Ns,q</t>
  </si>
  <si>
    <t>~10⁻⁸</t>
  </si>
  <si>
    <t>HALA EKSİK</t>
  </si>
  <si>
    <t>ACİL</t>
  </si>
  <si>
    <t>KALAN FARK</t>
  </si>
  <si>
    <t>10⁻⁸ vs 10⁻¹²⁰</t>
  </si>
  <si>
    <t>112 sıra</t>
  </si>
  <si>
    <t>ÇÖZÜLMÜYOR</t>
  </si>
  <si>
    <t>⚠️ ACİL</t>
  </si>
  <si>
    <t>BÖLÜM 3: WHEELER-DEWITT + WKB</t>
  </si>
  <si>
    <t>Denklem</t>
  </si>
  <si>
    <t>UST Versiyon</t>
  </si>
  <si>
    <t>Anlam</t>
  </si>
  <si>
    <t>Wheeler-DeWitt</t>
  </si>
  <si>
    <t>Ĥ|Ψ⟩=0</t>
  </si>
  <si>
    <t>Ĥ_UST|Ψ⟩=0</t>
  </si>
  <si>
    <t>Evren dalga fonk.</t>
  </si>
  <si>
    <t>Hamiltonian</t>
  </si>
  <si>
    <t>Ĥ=Ĥ_grav+Ĥ_matter</t>
  </si>
  <si>
    <t>Ĥ_UST+Ĥ_QFT+Ĥ_Om</t>
  </si>
  <si>
    <t>GR+QFT birleşimi</t>
  </si>
  <si>
    <t>WKB Yaklaşım</t>
  </si>
  <si>
    <t>Ψ=A·exp(iS/ℏ)</t>
  </si>
  <si>
    <t>Ψ_UST=A·exp(iS_UST/ℏ)</t>
  </si>
  <si>
    <t>Yarı-klasik</t>
  </si>
  <si>
    <t>Hartle-Hawking</t>
  </si>
  <si>
    <t>Ψ_HH=∫Dg·exp(-S_E)</t>
  </si>
  <si>
    <t>Ψ_UST=∫Dg·DO·exp(-S)</t>
  </si>
  <si>
    <t>No-boundary</t>
  </si>
  <si>
    <t>Kuantum Rejim</t>
  </si>
  <si>
    <t>a &lt; a_H</t>
  </si>
  <si>
    <t>Ψ∝exp[π/2H²·(1-...)]</t>
  </si>
  <si>
    <t>Tünelleme</t>
  </si>
  <si>
    <t>Klasik Rejim</t>
  </si>
  <si>
    <t>a &gt; a_H</t>
  </si>
  <si>
    <t>Ψ∝exp·cos[...]</t>
  </si>
  <si>
    <t>Salınım</t>
  </si>
  <si>
    <t>Zaman Problemi</t>
  </si>
  <si>
    <t>∂Ψ/∂τ yok</t>
  </si>
  <si>
    <t>i∂Ψ/∂τ_UST=Ĥ·Ψ</t>
  </si>
  <si>
    <t>Multi-fingered τ</t>
  </si>
  <si>
    <t>BÖLÜM 4: UST HESAPLAMALAR</t>
  </si>
  <si>
    <t>Parametre</t>
  </si>
  <si>
    <t>Excel</t>
  </si>
  <si>
    <t>α</t>
  </si>
  <si>
    <t>1/137.036</t>
  </si>
  <si>
    <t>DOF</t>
  </si>
  <si>
    <t>16+1</t>
  </si>
  <si>
    <t>α/17</t>
  </si>
  <si>
    <t>α÷DOF</t>
  </si>
  <si>
    <t>(3-√3)/2</t>
  </si>
  <si>
    <t>Baseline</t>
  </si>
  <si>
    <t>Ns,q</t>
  </si>
  <si>
    <t>(3-√3)/2-α/17</t>
  </si>
  <si>
    <t>Ccb</t>
  </si>
  <si>
    <t>1-Ns,q</t>
  </si>
  <si>
    <t>TOm</t>
  </si>
  <si>
    <t>exp(-2π·Ns,q·Ccb)</t>
  </si>
  <si>
    <t>a₂</t>
  </si>
  <si>
    <t>Λ BASKILAMA</t>
  </si>
  <si>
    <t>Faktör</t>
  </si>
  <si>
    <t>(α/17)·(1/17)·TOm·Ns,q</t>
  </si>
  <si>
    <t>Log₁₀(Faktör)</t>
  </si>
  <si>
    <t>Büyüklük sırası</t>
  </si>
  <si>
    <t>Hedef</t>
  </si>
  <si>
    <t>10⁻¹²⁰</t>
  </si>
  <si>
    <t>FARK (sıra)</t>
  </si>
  <si>
    <t>Hedef-Mevcut</t>
  </si>
  <si>
    <t>BÖLÜM 5: DÜRÜST DEĞERLENDİRME</t>
  </si>
  <si>
    <t>Açıklama</t>
  </si>
  <si>
    <t>Çözüm</t>
  </si>
  <si>
    <t>Λ ÇÖZÜLMÜYOR</t>
  </si>
  <si>
    <t>UST ~10⁻⁸, hedef 10⁻¹²⁰</t>
  </si>
  <si>
    <t>Ek mekanizma gerekli</t>
  </si>
  <si>
    <t>ACİL-1</t>
  </si>
  <si>
    <t>112 sıra EKSİK</t>
  </si>
  <si>
    <t>Mevcut baskılama yetersiz</t>
  </si>
  <si>
    <t>SUSY/Antropik/Yeni fizik</t>
  </si>
  <si>
    <t>ACİL-2</t>
  </si>
  <si>
    <t>WdW formüle edildi</t>
  </si>
  <si>
    <t>Matematiksel tutarlı</t>
  </si>
  <si>
    <t>Sayısal çözüm gerekli</t>
  </si>
  <si>
    <t>WKB çalışıyor</t>
  </si>
  <si>
    <t>Yarı-klasik limit OK</t>
  </si>
  <si>
    <t>Tam kuantum belirsiz</t>
  </si>
  <si>
    <t>Metrik</t>
  </si>
  <si>
    <t>Önceki</t>
  </si>
  <si>
    <t>Şimdi</t>
  </si>
  <si>
    <t>Not</t>
  </si>
  <si>
    <t>Λ Problemi</t>
  </si>
  <si>
    <t>GENEL 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</si>
</sst>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1"/>
      <color rgb="FFE74C3C"/>
      <name val="Aptos Narrow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A3E4D7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5DAD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1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5" fillId="0" borderId="0" xfId="0" applyFont="1"/>
    <xf numFmtId="0" fontId="4" fillId="7" borderId="0" xfId="0" applyFont="1" applyFill="1"/>
    <xf numFmtId="0" fontId="1" fillId="8" borderId="0" xfId="0" applyFont="1" applyFill="1"/>
    <xf numFmtId="0" fontId="4" fillId="9" borderId="0" xfId="0" applyFont="1" applyFill="1"/>
    <xf numFmtId="0" fontId="1" fillId="10" borderId="0" xfId="0" applyFont="1" applyFill="1"/>
    <xf numFmtId="164" fontId="0" fillId="0" borderId="0" xfId="0" applyNumberFormat="1"/>
    <xf numFmtId="16" fontId="0" fillId="0" borderId="0" xfId="0" applyNumberFormat="1"/>
    <xf numFmtId="0" fontId="1" fillId="0" borderId="0" xfId="0" applyFont="1"/>
    <xf numFmtId="164" fontId="5" fillId="0" borderId="0" xfId="0" applyNumberFormat="1" applyFont="1"/>
    <xf numFmtId="0" fontId="1" fillId="11" borderId="0" xfId="0" applyFont="1" applyFill="1"/>
    <xf numFmtId="0" fontId="1" fillId="12" borderId="0" xfId="0" applyFont="1" applyFill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E74F-A70C-47F8-9F72-79B6082B8C39}">
  <sheetPr codeName="Sayfa16"/>
  <dimension ref="A1:E57"/>
  <sheetViews>
    <sheetView tabSelected="1" workbookViewId="0"/>
  </sheetViews>
  <sheetFormatPr defaultRowHeight="15" x14ac:dyDescent="0.25"/>
  <cols>
    <col min="1" max="1" width="34.28515625" customWidth="1"/>
    <col min="2" max="2" width="53.28515625" customWidth="1"/>
    <col min="3" max="3" width="34.28515625" customWidth="1"/>
    <col min="4" max="4" width="22.85546875" customWidth="1"/>
    <col min="5" max="5" width="19" customWidth="1"/>
  </cols>
  <sheetData>
    <row r="1" spans="1:5" ht="18.75" x14ac:dyDescent="0.3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</row>
    <row r="5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</row>
    <row r="8" spans="1:5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 spans="1:5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</row>
    <row r="10" spans="1:5" x14ac:dyDescent="0.25">
      <c r="A10" t="s">
        <v>28</v>
      </c>
      <c r="B10" t="s">
        <v>29</v>
      </c>
      <c r="C10" t="s">
        <v>30</v>
      </c>
      <c r="D10" t="s">
        <v>31</v>
      </c>
      <c r="E10" t="s">
        <v>27</v>
      </c>
    </row>
    <row r="12" spans="1:5" x14ac:dyDescent="0.25">
      <c r="A12" s="5" t="s">
        <v>32</v>
      </c>
    </row>
    <row r="13" spans="1:5" x14ac:dyDescent="0.25">
      <c r="A13" s="6" t="s">
        <v>33</v>
      </c>
      <c r="B13" s="6" t="s">
        <v>4</v>
      </c>
      <c r="C13" s="6" t="s">
        <v>34</v>
      </c>
      <c r="D13" s="6" t="s">
        <v>35</v>
      </c>
      <c r="E13" s="6" t="s">
        <v>36</v>
      </c>
    </row>
    <row r="14" spans="1:5" x14ac:dyDescent="0.25">
      <c r="A14" t="s">
        <v>37</v>
      </c>
      <c r="B14" t="s">
        <v>38</v>
      </c>
      <c r="C14" t="s">
        <v>21</v>
      </c>
      <c r="D14" t="s">
        <v>39</v>
      </c>
      <c r="E14" t="s">
        <v>40</v>
      </c>
    </row>
    <row r="15" spans="1:5" x14ac:dyDescent="0.25">
      <c r="A15" t="s">
        <v>41</v>
      </c>
      <c r="B15" t="s">
        <v>42</v>
      </c>
      <c r="C15" t="s">
        <v>43</v>
      </c>
      <c r="D15" t="s">
        <v>44</v>
      </c>
      <c r="E15" t="s">
        <v>45</v>
      </c>
    </row>
    <row r="16" spans="1:5" x14ac:dyDescent="0.25">
      <c r="A16" t="s">
        <v>46</v>
      </c>
      <c r="B16" t="s">
        <v>47</v>
      </c>
      <c r="C16">
        <v>0.23300000000000001</v>
      </c>
      <c r="D16" t="s">
        <v>44</v>
      </c>
      <c r="E16" t="s">
        <v>45</v>
      </c>
    </row>
    <row r="17" spans="1:5" x14ac:dyDescent="0.25">
      <c r="A17" t="s">
        <v>48</v>
      </c>
      <c r="B17" t="s">
        <v>49</v>
      </c>
      <c r="C17" t="s">
        <v>50</v>
      </c>
      <c r="D17" t="s">
        <v>51</v>
      </c>
      <c r="E17" t="s">
        <v>52</v>
      </c>
    </row>
    <row r="18" spans="1:5" x14ac:dyDescent="0.25">
      <c r="A18" s="7" t="s">
        <v>53</v>
      </c>
      <c r="B18" s="7" t="s">
        <v>54</v>
      </c>
      <c r="C18" s="7" t="s">
        <v>55</v>
      </c>
      <c r="D18" s="7" t="s">
        <v>56</v>
      </c>
      <c r="E18" s="7" t="s">
        <v>57</v>
      </c>
    </row>
    <row r="20" spans="1:5" x14ac:dyDescent="0.25">
      <c r="A20" s="8" t="s">
        <v>58</v>
      </c>
    </row>
    <row r="21" spans="1:5" x14ac:dyDescent="0.25">
      <c r="A21" s="9" t="s">
        <v>59</v>
      </c>
      <c r="B21" s="9" t="s">
        <v>4</v>
      </c>
      <c r="C21" s="9" t="s">
        <v>60</v>
      </c>
      <c r="D21" s="9" t="s">
        <v>61</v>
      </c>
      <c r="E21" s="9" t="s">
        <v>7</v>
      </c>
    </row>
    <row r="22" spans="1:5" x14ac:dyDescent="0.25">
      <c r="A22" t="s">
        <v>62</v>
      </c>
      <c r="B22" t="s">
        <v>63</v>
      </c>
      <c r="C22" t="s">
        <v>64</v>
      </c>
      <c r="D22" t="s">
        <v>65</v>
      </c>
      <c r="E22" t="s">
        <v>17</v>
      </c>
    </row>
    <row r="23" spans="1:5" x14ac:dyDescent="0.25">
      <c r="A23" t="s">
        <v>66</v>
      </c>
      <c r="B23" t="s">
        <v>67</v>
      </c>
      <c r="C23" t="s">
        <v>68</v>
      </c>
      <c r="D23" t="s">
        <v>69</v>
      </c>
      <c r="E23" t="s">
        <v>17</v>
      </c>
    </row>
    <row r="24" spans="1:5" x14ac:dyDescent="0.25">
      <c r="A24" t="s">
        <v>70</v>
      </c>
      <c r="B24" t="s">
        <v>71</v>
      </c>
      <c r="C24" t="s">
        <v>72</v>
      </c>
      <c r="D24" t="s">
        <v>73</v>
      </c>
      <c r="E24" t="s">
        <v>17</v>
      </c>
    </row>
    <row r="25" spans="1:5" x14ac:dyDescent="0.25">
      <c r="A25" t="s">
        <v>74</v>
      </c>
      <c r="B25" t="s">
        <v>75</v>
      </c>
      <c r="C25" t="s">
        <v>76</v>
      </c>
      <c r="D25" t="s">
        <v>77</v>
      </c>
      <c r="E25" t="s">
        <v>22</v>
      </c>
    </row>
    <row r="26" spans="1:5" x14ac:dyDescent="0.25">
      <c r="A26" t="s">
        <v>78</v>
      </c>
      <c r="B26" t="s">
        <v>79</v>
      </c>
      <c r="C26" t="s">
        <v>80</v>
      </c>
      <c r="D26" t="s">
        <v>81</v>
      </c>
      <c r="E26" t="s">
        <v>17</v>
      </c>
    </row>
    <row r="27" spans="1:5" x14ac:dyDescent="0.25">
      <c r="A27" t="s">
        <v>82</v>
      </c>
      <c r="B27" t="s">
        <v>83</v>
      </c>
      <c r="C27" t="s">
        <v>84</v>
      </c>
      <c r="D27" t="s">
        <v>85</v>
      </c>
      <c r="E27" t="s">
        <v>17</v>
      </c>
    </row>
    <row r="28" spans="1:5" x14ac:dyDescent="0.25">
      <c r="A28" t="s">
        <v>86</v>
      </c>
      <c r="B28" t="s">
        <v>87</v>
      </c>
      <c r="C28" t="s">
        <v>88</v>
      </c>
      <c r="D28" t="s">
        <v>89</v>
      </c>
      <c r="E28" t="s">
        <v>22</v>
      </c>
    </row>
    <row r="30" spans="1:5" x14ac:dyDescent="0.25">
      <c r="A30" s="10" t="s">
        <v>90</v>
      </c>
    </row>
    <row r="31" spans="1:5" x14ac:dyDescent="0.25">
      <c r="A31" s="11" t="s">
        <v>91</v>
      </c>
      <c r="B31" s="11" t="s">
        <v>4</v>
      </c>
      <c r="C31" s="11" t="s">
        <v>92</v>
      </c>
      <c r="D31" s="11" t="s">
        <v>6</v>
      </c>
    </row>
    <row r="32" spans="1:5" x14ac:dyDescent="0.25">
      <c r="A32" t="s">
        <v>93</v>
      </c>
      <c r="B32" t="s">
        <v>94</v>
      </c>
      <c r="C32">
        <f>1/137.036</f>
        <v>7.2973525205055605E-3</v>
      </c>
      <c r="D32" s="12">
        <f>1/137.036</f>
        <v>7.2973525205055605E-3</v>
      </c>
    </row>
    <row r="33" spans="1:4" x14ac:dyDescent="0.25">
      <c r="A33" t="s">
        <v>95</v>
      </c>
      <c r="B33" t="s">
        <v>96</v>
      </c>
      <c r="C33">
        <v>17</v>
      </c>
      <c r="D33" s="12">
        <v>17</v>
      </c>
    </row>
    <row r="34" spans="1:4" x14ac:dyDescent="0.25">
      <c r="A34" t="s">
        <v>97</v>
      </c>
      <c r="B34" t="s">
        <v>98</v>
      </c>
      <c r="C34">
        <f>D32/D33</f>
        <v>4.2925603061797412E-4</v>
      </c>
      <c r="D34" s="12">
        <f>D32/D33</f>
        <v>4.2925603061797412E-4</v>
      </c>
    </row>
    <row r="35" spans="1:4" x14ac:dyDescent="0.25">
      <c r="A35" t="s">
        <v>99</v>
      </c>
      <c r="B35" t="s">
        <v>100</v>
      </c>
      <c r="C35">
        <f>(3-SQRT(3))/2</f>
        <v>0.6339745962155614</v>
      </c>
      <c r="D35" s="12">
        <f>(3-SQRT(3))/2</f>
        <v>0.6339745962155614</v>
      </c>
    </row>
    <row r="36" spans="1:4" x14ac:dyDescent="0.25">
      <c r="A36" t="s">
        <v>101</v>
      </c>
      <c r="B36" t="s">
        <v>102</v>
      </c>
      <c r="C36">
        <f>D35-D34</f>
        <v>0.63354534018494346</v>
      </c>
      <c r="D36" s="12">
        <f>D35-D34</f>
        <v>0.63354534018494346</v>
      </c>
    </row>
    <row r="37" spans="1:4" x14ac:dyDescent="0.25">
      <c r="A37" t="s">
        <v>103</v>
      </c>
      <c r="B37" t="s">
        <v>104</v>
      </c>
      <c r="C37">
        <f>1-D36</f>
        <v>0.36645465981505654</v>
      </c>
      <c r="D37" s="12">
        <f>1-D36</f>
        <v>0.36645465981505654</v>
      </c>
    </row>
    <row r="38" spans="1:4" x14ac:dyDescent="0.25">
      <c r="A38" t="s">
        <v>105</v>
      </c>
      <c r="B38" t="s">
        <v>106</v>
      </c>
      <c r="C38">
        <f>EXP(-2*PI()*D36*D37)</f>
        <v>0.23252913467665981</v>
      </c>
      <c r="D38" s="12">
        <f>EXP(-2*PI()*D36*D37)</f>
        <v>0.23252913467665981</v>
      </c>
    </row>
    <row r="39" spans="1:4" x14ac:dyDescent="0.25">
      <c r="A39" t="s">
        <v>107</v>
      </c>
      <c r="B39" s="13">
        <v>46039</v>
      </c>
      <c r="C39">
        <f>1/17</f>
        <v>5.8823529411764705E-2</v>
      </c>
      <c r="D39" s="12">
        <f>1/17</f>
        <v>5.8823529411764705E-2</v>
      </c>
    </row>
    <row r="40" spans="1:4" x14ac:dyDescent="0.25">
      <c r="D40" s="12"/>
    </row>
    <row r="41" spans="1:4" x14ac:dyDescent="0.25">
      <c r="A41" s="14" t="s">
        <v>108</v>
      </c>
      <c r="D41" s="12"/>
    </row>
    <row r="42" spans="1:4" x14ac:dyDescent="0.25">
      <c r="A42" t="s">
        <v>109</v>
      </c>
      <c r="B42" t="s">
        <v>110</v>
      </c>
      <c r="C42">
        <f>D34*D39*D38*D36</f>
        <v>3.7198254405513972E-6</v>
      </c>
      <c r="D42" s="12">
        <f>D34*D39*D38*D36</f>
        <v>3.7198254405513972E-6</v>
      </c>
    </row>
    <row r="43" spans="1:4" x14ac:dyDescent="0.25">
      <c r="A43" t="s">
        <v>111</v>
      </c>
      <c r="B43" t="s">
        <v>112</v>
      </c>
      <c r="C43">
        <f>LOG10(D42)</f>
        <v>-5.4294774396837013</v>
      </c>
      <c r="D43" s="12">
        <f>LOG10(D42)</f>
        <v>-5.4294774396837013</v>
      </c>
    </row>
    <row r="44" spans="1:4" x14ac:dyDescent="0.25">
      <c r="A44" t="s">
        <v>113</v>
      </c>
      <c r="B44" t="s">
        <v>114</v>
      </c>
      <c r="C44">
        <v>-120</v>
      </c>
      <c r="D44" s="12">
        <v>-120</v>
      </c>
    </row>
    <row r="45" spans="1:4" x14ac:dyDescent="0.25">
      <c r="A45" s="14" t="s">
        <v>115</v>
      </c>
      <c r="B45" s="14" t="s">
        <v>116</v>
      </c>
      <c r="C45" s="14">
        <f>D44-D43</f>
        <v>-114.57052256031631</v>
      </c>
      <c r="D45" s="15">
        <f>D44-D43</f>
        <v>-114.57052256031631</v>
      </c>
    </row>
    <row r="47" spans="1:4" x14ac:dyDescent="0.25">
      <c r="A47" s="3" t="s">
        <v>117</v>
      </c>
    </row>
    <row r="48" spans="1:4" x14ac:dyDescent="0.25">
      <c r="A48" s="16" t="s">
        <v>35</v>
      </c>
      <c r="B48" s="16" t="s">
        <v>118</v>
      </c>
      <c r="C48" s="16" t="s">
        <v>119</v>
      </c>
      <c r="D48" s="16" t="s">
        <v>36</v>
      </c>
    </row>
    <row r="49" spans="1:4" x14ac:dyDescent="0.25">
      <c r="A49" t="s">
        <v>120</v>
      </c>
      <c r="B49" t="s">
        <v>121</v>
      </c>
      <c r="C49" t="s">
        <v>122</v>
      </c>
      <c r="D49" t="s">
        <v>123</v>
      </c>
    </row>
    <row r="50" spans="1:4" x14ac:dyDescent="0.25">
      <c r="A50" t="s">
        <v>124</v>
      </c>
      <c r="B50" t="s">
        <v>125</v>
      </c>
      <c r="C50" t="s">
        <v>126</v>
      </c>
      <c r="D50" t="s">
        <v>127</v>
      </c>
    </row>
    <row r="51" spans="1:4" x14ac:dyDescent="0.25">
      <c r="A51" t="s">
        <v>128</v>
      </c>
      <c r="B51" t="s">
        <v>129</v>
      </c>
      <c r="C51" t="s">
        <v>130</v>
      </c>
      <c r="D51" t="s">
        <v>40</v>
      </c>
    </row>
    <row r="52" spans="1:4" x14ac:dyDescent="0.25">
      <c r="A52" t="s">
        <v>131</v>
      </c>
      <c r="B52" t="s">
        <v>132</v>
      </c>
      <c r="C52" t="s">
        <v>133</v>
      </c>
      <c r="D52" t="s">
        <v>45</v>
      </c>
    </row>
    <row r="54" spans="1:4" x14ac:dyDescent="0.25">
      <c r="A54" s="17" t="s">
        <v>134</v>
      </c>
      <c r="B54" s="17" t="s">
        <v>135</v>
      </c>
      <c r="C54" s="17" t="s">
        <v>136</v>
      </c>
      <c r="D54" s="17" t="s">
        <v>137</v>
      </c>
    </row>
    <row r="55" spans="1:4" x14ac:dyDescent="0.25">
      <c r="A55" t="s">
        <v>138</v>
      </c>
      <c r="B55" s="18">
        <v>0.2</v>
      </c>
      <c r="C55" s="18">
        <v>0.25</v>
      </c>
      <c r="D55" s="18">
        <v>0.05</v>
      </c>
    </row>
    <row r="56" spans="1:4" x14ac:dyDescent="0.25">
      <c r="A56" t="s">
        <v>62</v>
      </c>
      <c r="B56" s="18">
        <v>0.2</v>
      </c>
      <c r="C56" s="18">
        <v>0.7</v>
      </c>
      <c r="D56" s="18">
        <v>0.5</v>
      </c>
    </row>
    <row r="57" spans="1:4" x14ac:dyDescent="0.25">
      <c r="A57" t="s">
        <v>139</v>
      </c>
      <c r="B57" s="19">
        <v>0.76700000000000002</v>
      </c>
      <c r="C57" s="19">
        <v>0.78500000000000003</v>
      </c>
      <c r="D57" s="19">
        <v>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UST-Lambda-WdW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2026-04-23T11:00:26Z</dcterms:created>
  <dcterms:modified xsi:type="dcterms:W3CDTF">2026-04-23T11:00:27Z</dcterms:modified>
</cp:coreProperties>
</file>