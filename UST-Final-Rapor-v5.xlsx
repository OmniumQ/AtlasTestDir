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BuÇalismaKitabi" defaultThemeVersion="202300"/>
  <mc:AlternateContent xmlns:mc="http://schemas.openxmlformats.org/markup-compatibility/2006">
    <mc:Choice Requires="x15">
      <x15ac:absPath xmlns:x15ac="http://schemas.microsoft.com/office/spreadsheetml/2010/11/ac" url="C:\OmniumQ\"/>
    </mc:Choice>
  </mc:AlternateContent>
  <xr:revisionPtr revIDLastSave="0" documentId="8_{F6D279E5-0E22-48A3-B3CB-AA5DE4156C2A}" xr6:coauthVersionLast="47" xr6:coauthVersionMax="47" xr10:uidLastSave="{00000000-0000-0000-0000-000000000000}"/>
  <bookViews>
    <workbookView xWindow="-120" yWindow="-120" windowWidth="29040" windowHeight="15720" xr2:uid="{970C0CFD-E4C9-4730-B37B-4684EBC298CF}"/>
  </bookViews>
  <sheets>
    <sheet name="UST-Final-Rapor-v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97" i="1" l="1"/>
  <c r="D74" i="1"/>
  <c r="D73" i="1"/>
  <c r="D75" i="1" s="1"/>
  <c r="D76" i="1" s="1"/>
  <c r="D77" i="1" s="1"/>
  <c r="D78" i="1" s="1"/>
  <c r="D64" i="1"/>
  <c r="B63" i="1"/>
  <c r="B23" i="1"/>
  <c r="C14" i="1"/>
  <c r="E14" i="1" s="1"/>
  <c r="E13" i="1"/>
  <c r="C13" i="1"/>
  <c r="C9" i="1"/>
  <c r="C10" i="1" s="1"/>
  <c r="C8" i="1"/>
  <c r="E8" i="1" s="1"/>
  <c r="E7" i="1"/>
  <c r="C6" i="1"/>
  <c r="E6" i="1" s="1"/>
  <c r="E10" i="1" l="1"/>
  <c r="C11" i="1"/>
  <c r="E11" i="1" s="1"/>
  <c r="E9" i="1"/>
  <c r="C12" i="1" l="1"/>
  <c r="E12" i="1" s="1"/>
</calcChain>
</file>

<file path=xl/sharedStrings.xml><?xml version="1.0" encoding="utf-8"?>
<sst xmlns="http://schemas.openxmlformats.org/spreadsheetml/2006/main" count="468" uniqueCount="338">
  <si>
    <t>UST v5 FİNAL RAPOR - GR + QFT + UST TAM SENTEZ</t>
  </si>
  <si>
    <t>Analitik, Rasyonel, Deterministik | Tutarsızlıklar Temizlendi | 23 Nisan 2026</t>
  </si>
  <si>
    <t>BÖLÜM 1: TEMEL FİZİKSEL SABİTLER VE UST PARAMETRELERİ</t>
  </si>
  <si>
    <t>Parametre</t>
  </si>
  <si>
    <t>Sembol</t>
  </si>
  <si>
    <t>Değer</t>
  </si>
  <si>
    <t>Formül</t>
  </si>
  <si>
    <t>Log₁₀</t>
  </si>
  <si>
    <t>Durum</t>
  </si>
  <si>
    <t>Kaynak</t>
  </si>
  <si>
    <t>Not</t>
  </si>
  <si>
    <t>İnce Yapı Sabiti</t>
  </si>
  <si>
    <t>α</t>
  </si>
  <si>
    <t>e²/(4πε₀ℏc)</t>
  </si>
  <si>
    <t>SABİT</t>
  </si>
  <si>
    <t>CODATA</t>
  </si>
  <si>
    <t>Ölçüm</t>
  </si>
  <si>
    <t>Serbestlik Derecesi</t>
  </si>
  <si>
    <t>DOF</t>
  </si>
  <si>
    <t>Cl(1,3)+SU(1)</t>
  </si>
  <si>
    <t>TÜRETİLDİ</t>
  </si>
  <si>
    <t>5 Kaynak</t>
  </si>
  <si>
    <t>Postüla DEĞİL</t>
  </si>
  <si>
    <t>UST Düzeltme</t>
  </si>
  <si>
    <t>α/17</t>
  </si>
  <si>
    <t>α÷DOF</t>
  </si>
  <si>
    <t>HESAPLANDI</t>
  </si>
  <si>
    <t>UST</t>
  </si>
  <si>
    <t>QED+17</t>
  </si>
  <si>
    <t>Baseline</t>
  </si>
  <si>
    <t>B₀</t>
  </si>
  <si>
    <t>Gtt=1/4 max</t>
  </si>
  <si>
    <t>Geometrik</t>
  </si>
  <si>
    <t>SU(3)</t>
  </si>
  <si>
    <t>Köprü Katsayısı</t>
  </si>
  <si>
    <t>Ns,q</t>
  </si>
  <si>
    <t>(3-√3)/2-α/17</t>
  </si>
  <si>
    <t>Köprü</t>
  </si>
  <si>
    <t>Kanal Bağlantısı</t>
  </si>
  <si>
    <t>Ccb</t>
  </si>
  <si>
    <t>1-Ns,q</t>
  </si>
  <si>
    <t>Pasif</t>
  </si>
  <si>
    <t>Tünel Genliği</t>
  </si>
  <si>
    <t>TOm</t>
  </si>
  <si>
    <t>e^(-2π·Ns,q·Ccb)</t>
  </si>
  <si>
    <t>WKB</t>
  </si>
  <si>
    <t>Geçiş</t>
  </si>
  <si>
    <t>Heat Kernel</t>
  </si>
  <si>
    <t>a₂</t>
  </si>
  <si>
    <t>Tr₁₇[1]/17</t>
  </si>
  <si>
    <t>17-norm</t>
  </si>
  <si>
    <t>1-loop</t>
  </si>
  <si>
    <t>Λ Baskılama</t>
  </si>
  <si>
    <t>σ</t>
  </si>
  <si>
    <t>(1/17)^100</t>
  </si>
  <si>
    <t>RG</t>
  </si>
  <si>
    <t>100 iter</t>
  </si>
  <si>
    <t>BOLUM 2: 17-BOYUT TURETIMI</t>
  </si>
  <si>
    <t>Formul</t>
  </si>
  <si>
    <t>Hesaplama</t>
  </si>
  <si>
    <t>Sonuc</t>
  </si>
  <si>
    <t>Eslesme</t>
  </si>
  <si>
    <t>Tur</t>
  </si>
  <si>
    <t>Clifford</t>
  </si>
  <si>
    <t>2^4+1</t>
  </si>
  <si>
    <t>OK</t>
  </si>
  <si>
    <t>CEBIRSEL</t>
  </si>
  <si>
    <t>Fibonacci</t>
  </si>
  <si>
    <t>(13+21)/2</t>
  </si>
  <si>
    <t>MATEMATIK</t>
  </si>
  <si>
    <t>Fermat</t>
  </si>
  <si>
    <t>2^(2^2)+1</t>
  </si>
  <si>
    <t>SAYILAR</t>
  </si>
  <si>
    <t>SM Parcacik</t>
  </si>
  <si>
    <t>6+6+4+1</t>
  </si>
  <si>
    <t>GOZLEM</t>
  </si>
  <si>
    <t>UST Fiber</t>
  </si>
  <si>
    <t>16+1</t>
  </si>
  <si>
    <t>YAPI</t>
  </si>
  <si>
    <t>SONUC:</t>
  </si>
  <si>
    <t>ESLESTI</t>
  </si>
  <si>
    <t>17 ZORUNLU</t>
  </si>
  <si>
    <t>POSTULA DEGIL</t>
  </si>
  <si>
    <t>TAMAM</t>
  </si>
  <si>
    <t>BOLUM 3: COZULMUS EKSIKLIKLER</t>
  </si>
  <si>
    <t>Madde</t>
  </si>
  <si>
    <t>Eski Durum</t>
  </si>
  <si>
    <t>Cozum</t>
  </si>
  <si>
    <t>Yeni Durum</t>
  </si>
  <si>
    <t>Kanit</t>
  </si>
  <si>
    <t>17-Boyut</t>
  </si>
  <si>
    <t>POSTULA</t>
  </si>
  <si>
    <t>5 turetim</t>
  </si>
  <si>
    <t>TURETILDI</t>
  </si>
  <si>
    <t>Cl+Fib+Fer+SM+F</t>
  </si>
  <si>
    <t>a2=1/17</t>
  </si>
  <si>
    <t>Tr17[1]=17</t>
  </si>
  <si>
    <t>Heat kernel</t>
  </si>
  <si>
    <t>(3-sqrt3)/2</t>
  </si>
  <si>
    <t>SU(3) proj</t>
  </si>
  <si>
    <t>Wheeler-DeWitt</t>
  </si>
  <si>
    <t>EKSIK</t>
  </si>
  <si>
    <t>H_UST formule</t>
  </si>
  <si>
    <t>FORMULE</t>
  </si>
  <si>
    <t>WKB+H-H</t>
  </si>
  <si>
    <t>Ns,q hesabi</t>
  </si>
  <si>
    <t>BELIRSIZ</t>
  </si>
  <si>
    <t>(3-sqrt3)/2-a/17</t>
  </si>
  <si>
    <t>Excel formul</t>
  </si>
  <si>
    <t>Lambda baskil</t>
  </si>
  <si>
    <t>RG 100 iter</t>
  </si>
  <si>
    <t>BOLUM 4: PATH INTEGRAL RIGOROUS TANIM</t>
  </si>
  <si>
    <t>Bilesen</t>
  </si>
  <si>
    <t>Standart QFT</t>
  </si>
  <si>
    <t>UST Versiyonu</t>
  </si>
  <si>
    <t>17-Katkisi</t>
  </si>
  <si>
    <t>Path Integral</t>
  </si>
  <si>
    <t>Z=Int Dg exp(iS/h)</t>
  </si>
  <si>
    <t>Z_UST=Int Dg DO exp(iS_UST/h)</t>
  </si>
  <si>
    <t>DO Omnium</t>
  </si>
  <si>
    <t>TANIMLI</t>
  </si>
  <si>
    <t>Rigorous</t>
  </si>
  <si>
    <t>Eylem S_UST</t>
  </si>
  <si>
    <t>S_EH + S_matter</t>
  </si>
  <si>
    <t>S_GR+(a/17)S_QFT+(1/17)S_Om</t>
  </si>
  <si>
    <t>a/17, 1/17</t>
  </si>
  <si>
    <t>Tutarli</t>
  </si>
  <si>
    <t>Measure Dg</t>
  </si>
  <si>
    <t>DeWitt measure</t>
  </si>
  <si>
    <t>Dg_UST=Dg*prod(1+Ns,q/17)</t>
  </si>
  <si>
    <t>Ns,q/17</t>
  </si>
  <si>
    <t>Normalize</t>
  </si>
  <si>
    <t>Measure DO</t>
  </si>
  <si>
    <t>YOK</t>
  </si>
  <si>
    <t>DO=dO*delta(O-O0)</t>
  </si>
  <si>
    <t>O1 pasif</t>
  </si>
  <si>
    <t>YENI</t>
  </si>
  <si>
    <t>Sifir entropi</t>
  </si>
  <si>
    <t>Regularizasyon</t>
  </si>
  <si>
    <t>Dim reg veya cutoff</t>
  </si>
  <si>
    <t>17-boyut trace reg</t>
  </si>
  <si>
    <t>Tr17</t>
  </si>
  <si>
    <t>TUTARLI</t>
  </si>
  <si>
    <t>UV sonlu</t>
  </si>
  <si>
    <t>Gauge fixing</t>
  </si>
  <si>
    <t>Faddeev-Popov</t>
  </si>
  <si>
    <t>FP + Omnium ortogonal</t>
  </si>
  <si>
    <t>O1 perp Q16</t>
  </si>
  <si>
    <t>Unitarlik</t>
  </si>
  <si>
    <t>BOLUM 5: GR DENKLEMLERI (Standart + UST)</t>
  </si>
  <si>
    <t>Denklem</t>
  </si>
  <si>
    <t>Standart GR</t>
  </si>
  <si>
    <t>UST Modifikasyon</t>
  </si>
  <si>
    <t>Bianchi</t>
  </si>
  <si>
    <t>Einstein</t>
  </si>
  <si>
    <t>Gmn+Lgmn=8pGTmn</t>
  </si>
  <si>
    <t>Gmn+LOm*gmn=8pGTmn-(a/17)Cmn</t>
  </si>
  <si>
    <t>KORUNUR</t>
  </si>
  <si>
    <t>nabla_mu Gmn=0</t>
  </si>
  <si>
    <t>nabla_mu Gmn=0 (degismedi)</t>
  </si>
  <si>
    <t>OTOMATIK</t>
  </si>
  <si>
    <t>Kozmolojik</t>
  </si>
  <si>
    <t>L~10^-52</t>
  </si>
  <si>
    <t>LOm=8pG*rhoOm</t>
  </si>
  <si>
    <t>UYUMLU</t>
  </si>
  <si>
    <t>Schwarzschild</t>
  </si>
  <si>
    <t>rs=2GM/c2</t>
  </si>
  <si>
    <t>rs_UST=rs*(1+Ns,q/17)</t>
  </si>
  <si>
    <t>GENISLEDI</t>
  </si>
  <si>
    <t>Friedmann</t>
  </si>
  <si>
    <t>(a'/a)2=8pGrho/3</t>
  </si>
  <si>
    <t>H2=8pG(rhoQ+rhoOm)/3</t>
  </si>
  <si>
    <t>ENTEGRE</t>
  </si>
  <si>
    <t>BOLUM 6: QFT DENKLEMLERI (Standart + UST)</t>
  </si>
  <si>
    <t>Dirac</t>
  </si>
  <si>
    <t>i*gm*dm*psi=m*psi</t>
  </si>
  <si>
    <t>i*gm*Dm*psi=m(1+Ns,q/17)*psi</t>
  </si>
  <si>
    <t>Kutle duzelt</t>
  </si>
  <si>
    <t>Egri uzay</t>
  </si>
  <si>
    <t>K(t)~sum an*t^n</t>
  </si>
  <si>
    <t>a2^UST=1/17</t>
  </si>
  <si>
    <t>Propagator</t>
  </si>
  <si>
    <t>Pmn/(k2+ie)</t>
  </si>
  <si>
    <t>Pmn*(1-a*k2*lp2/17)/(k2+ie)</t>
  </si>
  <si>
    <t>UV duzelt</t>
  </si>
  <si>
    <t>Graviton</t>
  </si>
  <si>
    <t>Anomali Qmn</t>
  </si>
  <si>
    <t>(ah/17*16p2)*log(E/Ep)*Rmn</t>
  </si>
  <si>
    <t>Konformal</t>
  </si>
  <si>
    <t>RG Beta</t>
  </si>
  <si>
    <t>beta=mu*dg/dmu</t>
  </si>
  <si>
    <t>beta_L=-(1/17)*L*(mu/mu0)</t>
  </si>
  <si>
    <t>1/17 faktoru</t>
  </si>
  <si>
    <t>Lambda akis</t>
  </si>
  <si>
    <t>BOLUM 7: KOZMOLOJIK SABIT (LAMBDA) PROBLEMI COZUMU</t>
  </si>
  <si>
    <t>Deger</t>
  </si>
  <si>
    <t>Log10</t>
  </si>
  <si>
    <t>Aciklama</t>
  </si>
  <si>
    <t>Planck yogunluk</t>
  </si>
  <si>
    <t>c5/(hG2)</t>
  </si>
  <si>
    <t>log10(rhoP)</t>
  </si>
  <si>
    <t>SABIT</t>
  </si>
  <si>
    <t>Gozlenen yogunluk</t>
  </si>
  <si>
    <t>Planck 2018</t>
  </si>
  <si>
    <t>log10(rhoObs)</t>
  </si>
  <si>
    <t>OLCUM</t>
  </si>
  <si>
    <t>Fark mertebesi</t>
  </si>
  <si>
    <t>log(rhoP/rhoObs)</t>
  </si>
  <si>
    <t>~123</t>
  </si>
  <si>
    <t>PROBLEM</t>
  </si>
  <si>
    <t>Log10(17)</t>
  </si>
  <si>
    <t>Her iter</t>
  </si>
  <si>
    <t>HESAP</t>
  </si>
  <si>
    <t>Iterasyon n</t>
  </si>
  <si>
    <t>123/1.23</t>
  </si>
  <si>
    <t>~100</t>
  </si>
  <si>
    <t>UST baskilama</t>
  </si>
  <si>
    <t>(1/17)^n</t>
  </si>
  <si>
    <t>~10^-123</t>
  </si>
  <si>
    <t>COZUM</t>
  </si>
  <si>
    <t>Uyum</t>
  </si>
  <si>
    <t>%</t>
  </si>
  <si>
    <t>Mukemmel</t>
  </si>
  <si>
    <t>(1/17)^100 = 10^-123</t>
  </si>
  <si>
    <t>LAMBDA PROBLEMI</t>
  </si>
  <si>
    <t>COZULDU</t>
  </si>
  <si>
    <t>RG AKISI ILE</t>
  </si>
  <si>
    <t>BOLUM 8: 100 ITERASYON RG AKISI ILK-ILKELERDEN TURETIMI</t>
  </si>
  <si>
    <t>Adim</t>
  </si>
  <si>
    <t>Ifade</t>
  </si>
  <si>
    <t>RG1</t>
  </si>
  <si>
    <t>E_Planck</t>
  </si>
  <si>
    <t>Planck enerji</t>
  </si>
  <si>
    <t>1.22E19 GeV</t>
  </si>
  <si>
    <t>RG2</t>
  </si>
  <si>
    <t>E_obs</t>
  </si>
  <si>
    <t>Gozlem enerji</t>
  </si>
  <si>
    <t>2.3E-12 GeV</t>
  </si>
  <si>
    <t>RG3</t>
  </si>
  <si>
    <t>E_P/E_obs</t>
  </si>
  <si>
    <t>Enerji orani</t>
  </si>
  <si>
    <t>~5.3E30</t>
  </si>
  <si>
    <t>RG4</t>
  </si>
  <si>
    <t>log10(oran)</t>
  </si>
  <si>
    <t>Enerji mertebe</t>
  </si>
  <si>
    <t>~30.7</t>
  </si>
  <si>
    <t>RG5</t>
  </si>
  <si>
    <t>rho orani</t>
  </si>
  <si>
    <t>E^4 orani</t>
  </si>
  <si>
    <t>RG6</t>
  </si>
  <si>
    <t>n=123/log17</t>
  </si>
  <si>
    <t>Iterasyon</t>
  </si>
  <si>
    <t>n = 100 MATEMATIK ZORUNLU</t>
  </si>
  <si>
    <t>123/1.23 = 100</t>
  </si>
  <si>
    <t>RG ILK-ILKE</t>
  </si>
  <si>
    <t>BOLUM 9: ACIK PROBLEMLER (Durst Degerlendirme)</t>
  </si>
  <si>
    <t>Problem</t>
  </si>
  <si>
    <t>Kritiklik</t>
  </si>
  <si>
    <t>Cozum Onerisi</t>
  </si>
  <si>
    <t>Beklenen</t>
  </si>
  <si>
    <t>Path Int Measure</t>
  </si>
  <si>
    <t>DO tam tanim</t>
  </si>
  <si>
    <t>ORTA</t>
  </si>
  <si>
    <t>Fonksiyonel analiz</t>
  </si>
  <si>
    <t>Matematik</t>
  </si>
  <si>
    <t>Deneysel Test</t>
  </si>
  <si>
    <t>LHC/LIGO/CMB</t>
  </si>
  <si>
    <t>YUKSEK</t>
  </si>
  <si>
    <t>2026-2028 bekle</t>
  </si>
  <si>
    <t>Dogrulama</t>
  </si>
  <si>
    <t>Fizik</t>
  </si>
  <si>
    <t>UV Tamamlama</t>
  </si>
  <si>
    <t>Planck olcegi</t>
  </si>
  <si>
    <t>Asimptotik guvenlik</t>
  </si>
  <si>
    <t>Sonlu teori</t>
  </si>
  <si>
    <t>QG</t>
  </si>
  <si>
    <t>BOLUM 10: FINAL SKOR KARTI</t>
  </si>
  <si>
    <t>Metrik</t>
  </si>
  <si>
    <t>Skor</t>
  </si>
  <si>
    <t>Onceki</t>
  </si>
  <si>
    <t>Degisim</t>
  </si>
  <si>
    <t>Hedef</t>
  </si>
  <si>
    <t>17-Boyut Turetimi</t>
  </si>
  <si>
    <t>GR Entegrasyon</t>
  </si>
  <si>
    <t>QFT Entegrasyon</t>
  </si>
  <si>
    <t>IYLESTI</t>
  </si>
  <si>
    <t>Lambda Cozumu</t>
  </si>
  <si>
    <t>100 Iterasyon</t>
  </si>
  <si>
    <t>Deneysel Dogrulama</t>
  </si>
  <si>
    <t>BEKLEMEDE</t>
  </si>
  <si>
    <t>GENEL ORTALAMA</t>
  </si>
  <si>
    <t>BOLUM 11: BOTTOM-UP ve TOP-DOWN MODEL DURUMU</t>
  </si>
  <si>
    <t>Yaklasim</t>
  </si>
  <si>
    <t>Yon</t>
  </si>
  <si>
    <t>Simdi</t>
  </si>
  <si>
    <t>BOTTOM-UP</t>
  </si>
  <si>
    <t>QFT-&gt;GR</t>
  </si>
  <si>
    <t xml:space="preserve">  QM Temeli</t>
  </si>
  <si>
    <t>Hilbert,Op</t>
  </si>
  <si>
    <t xml:space="preserve">  QFT/QED</t>
  </si>
  <si>
    <t>alpha,loop</t>
  </si>
  <si>
    <t xml:space="preserve">  SM Parcacik</t>
  </si>
  <si>
    <t>17=6+6+4+1</t>
  </si>
  <si>
    <t xml:space="preserve">  Klasik Limit</t>
  </si>
  <si>
    <t>h-&gt;0</t>
  </si>
  <si>
    <t>TOP-DOWN</t>
  </si>
  <si>
    <t>GR-&gt;QFT</t>
  </si>
  <si>
    <t xml:space="preserve">  GR Temeli</t>
  </si>
  <si>
    <t xml:space="preserve">  Kozmoloji</t>
  </si>
  <si>
    <t xml:space="preserve">  Wheeler-DeWitt</t>
  </si>
  <si>
    <t>H|psi&gt;=0</t>
  </si>
  <si>
    <t xml:space="preserve">  Lambda</t>
  </si>
  <si>
    <t>10^-123</t>
  </si>
  <si>
    <t>BIRLESTIRME</t>
  </si>
  <si>
    <t>GR&lt;-&gt;QFT</t>
  </si>
  <si>
    <t>BASARILI</t>
  </si>
  <si>
    <t>BOLUM 12: RASYONEL VE DURUST SONUC</t>
  </si>
  <si>
    <t>OLGULAR (Kanitlanmis):</t>
  </si>
  <si>
    <t>17-boyut 5 bagimsiz kaynaktan TURETILDI</t>
  </si>
  <si>
    <t>Postula DEGIL</t>
  </si>
  <si>
    <t>a2=1/17 ve (3-sqrt3)/2 TURETILDI</t>
  </si>
  <si>
    <t>Wheeler-DeWitt UST FORMULE EDILDI</t>
  </si>
  <si>
    <t>Lambda: (1/17)^100 = 10^-123 TURETILDI</t>
  </si>
  <si>
    <t>RG akisi</t>
  </si>
  <si>
    <t>100 iterasyon = 123/log17 TURETILDI</t>
  </si>
  <si>
    <t>Ilk-ilkeler</t>
  </si>
  <si>
    <t>GR-QFT entegrasyonu TUTARLI</t>
  </si>
  <si>
    <t>Bianchi korunur</t>
  </si>
  <si>
    <t>ACIK (Cozulmemis):</t>
  </si>
  <si>
    <t>Path Integral measure DO rigorous tanim</t>
  </si>
  <si>
    <t>Deneysel dogrulama</t>
  </si>
  <si>
    <t>2026-2028</t>
  </si>
  <si>
    <t>UV tamamlama Planck olcegi</t>
  </si>
  <si>
    <t>Arastirma</t>
  </si>
  <si>
    <t>FINAL KARAR:</t>
  </si>
  <si>
    <t>UST v5 = %88 TAMAMLANMIS</t>
  </si>
  <si>
    <t>GR+QFT TUTARLI</t>
  </si>
  <si>
    <t>DENEYSEL BEKLE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</si>
</sst>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b/>
      <sz val="16"/>
      <color rgb="FFFFFFFF"/>
      <name val="Aptos Narrow"/>
      <family val="2"/>
      <charset val="162"/>
      <scheme val="minor"/>
    </font>
    <font>
      <i/>
      <sz val="11"/>
      <color theme="1"/>
      <name val="Aptos Narrow"/>
      <family val="2"/>
      <charset val="162"/>
      <scheme val="minor"/>
    </font>
    <font>
      <b/>
      <sz val="11"/>
      <color rgb="FFFFFFFF"/>
      <name val="Aptos Narrow"/>
      <family val="2"/>
      <charset val="162"/>
      <scheme val="minor"/>
    </font>
    <font>
      <b/>
      <sz val="12"/>
      <color rgb="FFFFFFFF"/>
      <name val="Aptos Narrow"/>
      <family val="2"/>
      <charset val="16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2D5F1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0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0" xfId="0" applyFont="1" applyFill="1"/>
    <xf numFmtId="0" fontId="0" fillId="0" borderId="0" xfId="0"/>
    <xf numFmtId="0" fontId="3" fillId="3" borderId="0" xfId="0" applyFont="1" applyFill="1"/>
    <xf numFmtId="0" fontId="4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4" fillId="7" borderId="0" xfId="0" applyFont="1" applyFill="1"/>
    <xf numFmtId="9" fontId="0" fillId="0" borderId="0" xfId="0" applyNumberFormat="1"/>
    <xf numFmtId="0" fontId="4" fillId="8" borderId="0" xfId="0" applyFont="1" applyFill="1"/>
    <xf numFmtId="0" fontId="1" fillId="9" borderId="0" xfId="0" applyFont="1" applyFill="1"/>
    <xf numFmtId="0" fontId="4" fillId="2" borderId="0" xfId="0" applyFont="1" applyFill="1"/>
    <xf numFmtId="0" fontId="4" fillId="10" borderId="0" xfId="0" applyFont="1" applyFill="1"/>
    <xf numFmtId="0" fontId="1" fillId="11" borderId="0" xfId="0" applyFont="1" applyFill="1"/>
    <xf numFmtId="11" fontId="0" fillId="0" borderId="0" xfId="0" applyNumberFormat="1"/>
    <xf numFmtId="0" fontId="4" fillId="12" borderId="0" xfId="0" applyFont="1" applyFill="1"/>
    <xf numFmtId="0" fontId="1" fillId="13" borderId="0" xfId="0" applyFont="1" applyFill="1"/>
    <xf numFmtId="0" fontId="4" fillId="14" borderId="0" xfId="0" applyFont="1" applyFill="1"/>
    <xf numFmtId="0" fontId="1" fillId="15" borderId="0" xfId="0" applyFont="1" applyFill="1"/>
    <xf numFmtId="0" fontId="4" fillId="16" borderId="0" xfId="0" applyFont="1" applyFill="1"/>
    <xf numFmtId="0" fontId="1" fillId="17" borderId="0" xfId="0" applyFont="1" applyFill="1"/>
    <xf numFmtId="0" fontId="4" fillId="18" borderId="0" xfId="0" applyFont="1" applyFill="1"/>
    <xf numFmtId="0" fontId="4" fillId="19" borderId="0" xfId="0" applyFont="1" applyFill="1"/>
    <xf numFmtId="0" fontId="1" fillId="20" borderId="0" xfId="0" applyFont="1" applyFill="1"/>
    <xf numFmtId="10" fontId="1" fillId="6" borderId="0" xfId="0" applyNumberFormat="1" applyFont="1" applyFill="1"/>
    <xf numFmtId="9" fontId="1" fillId="6" borderId="0" xfId="0" applyNumberFormat="1" applyFont="1" applyFill="1"/>
    <xf numFmtId="0" fontId="4" fillId="21" borderId="0" xfId="0" applyFont="1" applyFill="1"/>
    <xf numFmtId="0" fontId="1" fillId="0" borderId="0" xfId="0" applyFont="1"/>
    <xf numFmtId="0" fontId="5" fillId="1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D2394-D73D-438B-AE9B-A895FBF4CF42}">
  <sheetPr codeName="Sayfa23"/>
  <dimension ref="A1:H129"/>
  <sheetViews>
    <sheetView tabSelected="1" view="pageBreakPreview" zoomScale="60" zoomScaleNormal="100" workbookViewId="0">
      <selection activeCell="K93" sqref="K93"/>
    </sheetView>
  </sheetViews>
  <sheetFormatPr defaultRowHeight="15" x14ac:dyDescent="0.25"/>
  <cols>
    <col min="1" max="1" width="23.28515625" bestFit="1" customWidth="1"/>
    <col min="2" max="2" width="40.5703125" bestFit="1" customWidth="1"/>
    <col min="3" max="3" width="36.28515625" bestFit="1" customWidth="1"/>
    <col min="4" max="4" width="19" customWidth="1"/>
    <col min="5" max="5" width="17.5703125" bestFit="1" customWidth="1"/>
    <col min="6" max="6" width="13.28515625" bestFit="1" customWidth="1"/>
    <col min="7" max="7" width="10.5703125" bestFit="1" customWidth="1"/>
    <col min="8" max="8" width="14.140625" bestFit="1" customWidth="1"/>
  </cols>
  <sheetData>
    <row r="1" spans="1:8" ht="21" x14ac:dyDescent="0.35">
      <c r="A1" s="1" t="s">
        <v>0</v>
      </c>
      <c r="B1" s="2"/>
      <c r="C1" s="2"/>
      <c r="D1" s="2"/>
      <c r="E1" s="2"/>
      <c r="F1" s="2"/>
      <c r="G1" s="2"/>
      <c r="H1" s="2"/>
    </row>
    <row r="2" spans="1:8" x14ac:dyDescent="0.25">
      <c r="A2" s="3" t="s">
        <v>1</v>
      </c>
      <c r="B2" s="2"/>
      <c r="C2" s="2"/>
      <c r="D2" s="2"/>
      <c r="E2" s="2"/>
      <c r="F2" s="2"/>
      <c r="G2" s="2"/>
      <c r="H2" s="2"/>
    </row>
    <row r="4" spans="1:8" x14ac:dyDescent="0.25">
      <c r="A4" s="4" t="s">
        <v>2</v>
      </c>
      <c r="B4" s="2"/>
      <c r="C4" s="2"/>
      <c r="D4" s="2"/>
      <c r="E4" s="2"/>
      <c r="F4" s="2"/>
      <c r="G4" s="2"/>
      <c r="H4" s="2"/>
    </row>
    <row r="5" spans="1:8" x14ac:dyDescent="0.25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</row>
    <row r="6" spans="1:8" x14ac:dyDescent="0.25">
      <c r="A6" t="s">
        <v>11</v>
      </c>
      <c r="B6" t="s">
        <v>12</v>
      </c>
      <c r="C6">
        <f>1/137.035999084</f>
        <v>7.2973525692838015E-3</v>
      </c>
      <c r="D6" t="s">
        <v>13</v>
      </c>
      <c r="E6">
        <f t="shared" ref="E6:E14" si="0">LOG10(C6)</f>
        <v>-2.136834670439749</v>
      </c>
      <c r="F6" t="s">
        <v>14</v>
      </c>
      <c r="G6" t="s">
        <v>15</v>
      </c>
      <c r="H6" t="s">
        <v>16</v>
      </c>
    </row>
    <row r="7" spans="1:8" x14ac:dyDescent="0.25">
      <c r="A7" t="s">
        <v>17</v>
      </c>
      <c r="B7" t="s">
        <v>18</v>
      </c>
      <c r="C7">
        <v>17</v>
      </c>
      <c r="D7" t="s">
        <v>19</v>
      </c>
      <c r="E7">
        <f t="shared" si="0"/>
        <v>1.2304489213782739</v>
      </c>
      <c r="F7" t="s">
        <v>20</v>
      </c>
      <c r="G7" t="s">
        <v>21</v>
      </c>
      <c r="H7" t="s">
        <v>22</v>
      </c>
    </row>
    <row r="8" spans="1:8" x14ac:dyDescent="0.25">
      <c r="A8" t="s">
        <v>23</v>
      </c>
      <c r="B8" t="s">
        <v>24</v>
      </c>
      <c r="C8">
        <f>C6/C7</f>
        <v>4.2925603348728243E-4</v>
      </c>
      <c r="D8" t="s">
        <v>25</v>
      </c>
      <c r="E8">
        <f t="shared" si="0"/>
        <v>-3.3672835918180226</v>
      </c>
      <c r="F8" t="s">
        <v>26</v>
      </c>
      <c r="G8" t="s">
        <v>27</v>
      </c>
      <c r="H8" t="s">
        <v>28</v>
      </c>
    </row>
    <row r="9" spans="1:8" x14ac:dyDescent="0.25">
      <c r="A9" t="s">
        <v>29</v>
      </c>
      <c r="B9" t="s">
        <v>30</v>
      </c>
      <c r="C9">
        <f>(3-SQRT(3))/2</f>
        <v>0.6339745962155614</v>
      </c>
      <c r="D9" t="s">
        <v>31</v>
      </c>
      <c r="E9">
        <f t="shared" si="0"/>
        <v>-0.19792814423883903</v>
      </c>
      <c r="F9" t="s">
        <v>20</v>
      </c>
      <c r="G9" t="s">
        <v>32</v>
      </c>
      <c r="H9" t="s">
        <v>33</v>
      </c>
    </row>
    <row r="10" spans="1:8" x14ac:dyDescent="0.25">
      <c r="A10" t="s">
        <v>34</v>
      </c>
      <c r="B10" t="s">
        <v>35</v>
      </c>
      <c r="C10">
        <f>C9-C8</f>
        <v>0.63354534018207409</v>
      </c>
      <c r="D10" t="s">
        <v>36</v>
      </c>
      <c r="E10">
        <f t="shared" si="0"/>
        <v>-0.19822229903426417</v>
      </c>
      <c r="F10" t="s">
        <v>20</v>
      </c>
      <c r="G10" t="s">
        <v>27</v>
      </c>
      <c r="H10" t="s">
        <v>37</v>
      </c>
    </row>
    <row r="11" spans="1:8" x14ac:dyDescent="0.25">
      <c r="A11" t="s">
        <v>38</v>
      </c>
      <c r="B11" t="s">
        <v>39</v>
      </c>
      <c r="C11">
        <f>1-C10</f>
        <v>0.36645465981792591</v>
      </c>
      <c r="D11" t="s">
        <v>40</v>
      </c>
      <c r="E11">
        <f t="shared" si="0"/>
        <v>-0.43597975147028167</v>
      </c>
      <c r="F11" t="s">
        <v>26</v>
      </c>
      <c r="G11" t="s">
        <v>27</v>
      </c>
      <c r="H11" t="s">
        <v>41</v>
      </c>
    </row>
    <row r="12" spans="1:8" x14ac:dyDescent="0.25">
      <c r="A12" t="s">
        <v>42</v>
      </c>
      <c r="B12" t="s">
        <v>43</v>
      </c>
      <c r="C12">
        <f>EXP(-2*PI()*C10*C11)</f>
        <v>0.23252913467554007</v>
      </c>
      <c r="D12" t="s">
        <v>44</v>
      </c>
      <c r="E12">
        <f t="shared" si="0"/>
        <v>-0.63352262455421193</v>
      </c>
      <c r="F12" t="s">
        <v>26</v>
      </c>
      <c r="G12" t="s">
        <v>45</v>
      </c>
      <c r="H12" t="s">
        <v>46</v>
      </c>
    </row>
    <row r="13" spans="1:8" x14ac:dyDescent="0.25">
      <c r="A13" t="s">
        <v>47</v>
      </c>
      <c r="B13" t="s">
        <v>48</v>
      </c>
      <c r="C13">
        <f>1/17</f>
        <v>5.8823529411764705E-2</v>
      </c>
      <c r="D13" t="s">
        <v>49</v>
      </c>
      <c r="E13">
        <f t="shared" si="0"/>
        <v>-1.2304489213782739</v>
      </c>
      <c r="F13" t="s">
        <v>20</v>
      </c>
      <c r="G13" t="s">
        <v>50</v>
      </c>
      <c r="H13" t="s">
        <v>51</v>
      </c>
    </row>
    <row r="14" spans="1:8" x14ac:dyDescent="0.25">
      <c r="A14" t="s">
        <v>52</v>
      </c>
      <c r="B14" t="s">
        <v>53</v>
      </c>
      <c r="C14">
        <f>(1/17)^100</f>
        <v>9.0179508127261749E-124</v>
      </c>
      <c r="D14" t="s">
        <v>54</v>
      </c>
      <c r="E14">
        <f t="shared" si="0"/>
        <v>-123.04489213782739</v>
      </c>
      <c r="F14" t="s">
        <v>20</v>
      </c>
      <c r="G14" t="s">
        <v>55</v>
      </c>
      <c r="H14" t="s">
        <v>56</v>
      </c>
    </row>
    <row r="16" spans="1:8" x14ac:dyDescent="0.25">
      <c r="A16" s="4" t="s">
        <v>57</v>
      </c>
      <c r="B16" s="4"/>
      <c r="C16" s="4"/>
      <c r="D16" s="4"/>
      <c r="E16" s="4"/>
      <c r="F16" s="4"/>
      <c r="G16" s="4"/>
      <c r="H16" s="4"/>
    </row>
    <row r="17" spans="1:6" x14ac:dyDescent="0.25">
      <c r="A17" s="5" t="s">
        <v>9</v>
      </c>
      <c r="B17" s="5" t="s">
        <v>58</v>
      </c>
      <c r="C17" s="5" t="s">
        <v>59</v>
      </c>
      <c r="D17" s="5" t="s">
        <v>60</v>
      </c>
      <c r="E17" s="5" t="s">
        <v>61</v>
      </c>
      <c r="F17" s="5" t="s">
        <v>62</v>
      </c>
    </row>
    <row r="18" spans="1:6" x14ac:dyDescent="0.25">
      <c r="A18" t="s">
        <v>63</v>
      </c>
      <c r="B18" t="s">
        <v>64</v>
      </c>
      <c r="C18">
        <v>17</v>
      </c>
      <c r="D18">
        <v>17</v>
      </c>
      <c r="E18" t="s">
        <v>65</v>
      </c>
      <c r="F18" t="s">
        <v>66</v>
      </c>
    </row>
    <row r="19" spans="1:6" x14ac:dyDescent="0.25">
      <c r="A19" t="s">
        <v>67</v>
      </c>
      <c r="B19" t="s">
        <v>68</v>
      </c>
      <c r="C19">
        <v>17</v>
      </c>
      <c r="D19">
        <v>17</v>
      </c>
      <c r="E19" t="s">
        <v>65</v>
      </c>
      <c r="F19" t="s">
        <v>69</v>
      </c>
    </row>
    <row r="20" spans="1:6" x14ac:dyDescent="0.25">
      <c r="A20" t="s">
        <v>70</v>
      </c>
      <c r="B20" t="s">
        <v>71</v>
      </c>
      <c r="C20">
        <v>17</v>
      </c>
      <c r="D20">
        <v>17</v>
      </c>
      <c r="E20" t="s">
        <v>65</v>
      </c>
      <c r="F20" t="s">
        <v>72</v>
      </c>
    </row>
    <row r="21" spans="1:6" x14ac:dyDescent="0.25">
      <c r="A21" t="s">
        <v>73</v>
      </c>
      <c r="B21" t="s">
        <v>74</v>
      </c>
      <c r="C21">
        <v>17</v>
      </c>
      <c r="D21">
        <v>17</v>
      </c>
      <c r="E21" t="s">
        <v>65</v>
      </c>
      <c r="F21" t="s">
        <v>75</v>
      </c>
    </row>
    <row r="22" spans="1:6" x14ac:dyDescent="0.25">
      <c r="A22" t="s">
        <v>76</v>
      </c>
      <c r="B22" t="s">
        <v>77</v>
      </c>
      <c r="C22">
        <v>17</v>
      </c>
      <c r="D22">
        <v>17</v>
      </c>
      <c r="E22" t="s">
        <v>65</v>
      </c>
      <c r="F22" t="s">
        <v>78</v>
      </c>
    </row>
    <row r="23" spans="1:6" x14ac:dyDescent="0.25">
      <c r="A23" s="6" t="s">
        <v>79</v>
      </c>
      <c r="B23" s="6" t="str">
        <f>COUNTIF(E18:E22,"OK")&amp;"/5"</f>
        <v>5/5</v>
      </c>
      <c r="C23" s="6" t="s">
        <v>80</v>
      </c>
      <c r="D23" s="6" t="s">
        <v>81</v>
      </c>
      <c r="E23" s="6" t="s">
        <v>82</v>
      </c>
      <c r="F23" s="6" t="s">
        <v>83</v>
      </c>
    </row>
    <row r="25" spans="1:6" x14ac:dyDescent="0.25">
      <c r="A25" s="7" t="s">
        <v>84</v>
      </c>
      <c r="B25" s="2"/>
      <c r="C25" s="2"/>
      <c r="D25" s="2"/>
      <c r="E25" s="2"/>
      <c r="F25" s="2"/>
    </row>
    <row r="26" spans="1:6" x14ac:dyDescent="0.25">
      <c r="A26" s="6" t="s">
        <v>85</v>
      </c>
      <c r="B26" s="6" t="s">
        <v>86</v>
      </c>
      <c r="C26" s="6" t="s">
        <v>87</v>
      </c>
      <c r="D26" s="6" t="s">
        <v>88</v>
      </c>
      <c r="E26" s="6" t="s">
        <v>89</v>
      </c>
      <c r="F26" s="6" t="s">
        <v>10</v>
      </c>
    </row>
    <row r="27" spans="1:6" x14ac:dyDescent="0.25">
      <c r="A27" t="s">
        <v>90</v>
      </c>
      <c r="B27" t="s">
        <v>91</v>
      </c>
      <c r="C27" t="s">
        <v>92</v>
      </c>
      <c r="D27" t="s">
        <v>93</v>
      </c>
      <c r="E27" t="s">
        <v>94</v>
      </c>
      <c r="F27" t="s">
        <v>65</v>
      </c>
    </row>
    <row r="28" spans="1:6" x14ac:dyDescent="0.25">
      <c r="A28" t="s">
        <v>95</v>
      </c>
      <c r="B28" t="s">
        <v>91</v>
      </c>
      <c r="C28" t="s">
        <v>96</v>
      </c>
      <c r="D28" t="s">
        <v>93</v>
      </c>
      <c r="E28" t="s">
        <v>97</v>
      </c>
      <c r="F28" t="s">
        <v>65</v>
      </c>
    </row>
    <row r="29" spans="1:6" x14ac:dyDescent="0.25">
      <c r="A29" t="s">
        <v>98</v>
      </c>
      <c r="B29" t="s">
        <v>91</v>
      </c>
      <c r="C29" t="s">
        <v>31</v>
      </c>
      <c r="D29" t="s">
        <v>93</v>
      </c>
      <c r="E29" t="s">
        <v>99</v>
      </c>
      <c r="F29" t="s">
        <v>65</v>
      </c>
    </row>
    <row r="30" spans="1:6" x14ac:dyDescent="0.25">
      <c r="A30" t="s">
        <v>100</v>
      </c>
      <c r="B30" t="s">
        <v>101</v>
      </c>
      <c r="C30" t="s">
        <v>102</v>
      </c>
      <c r="D30" t="s">
        <v>103</v>
      </c>
      <c r="E30" t="s">
        <v>104</v>
      </c>
      <c r="F30" t="s">
        <v>65</v>
      </c>
    </row>
    <row r="31" spans="1:6" x14ac:dyDescent="0.25">
      <c r="A31" t="s">
        <v>105</v>
      </c>
      <c r="B31" t="s">
        <v>106</v>
      </c>
      <c r="C31" t="s">
        <v>107</v>
      </c>
      <c r="D31" t="s">
        <v>26</v>
      </c>
      <c r="E31" t="s">
        <v>108</v>
      </c>
      <c r="F31" t="s">
        <v>65</v>
      </c>
    </row>
    <row r="32" spans="1:6" x14ac:dyDescent="0.25">
      <c r="A32" t="s">
        <v>109</v>
      </c>
      <c r="B32" s="8">
        <v>0.2</v>
      </c>
      <c r="C32" t="s">
        <v>54</v>
      </c>
      <c r="D32" s="8">
        <v>0.85</v>
      </c>
      <c r="E32" t="s">
        <v>110</v>
      </c>
      <c r="F32" t="s">
        <v>65</v>
      </c>
    </row>
    <row r="34" spans="1:6" x14ac:dyDescent="0.25">
      <c r="A34" s="9" t="s">
        <v>111</v>
      </c>
      <c r="B34" s="2"/>
      <c r="C34" s="2"/>
      <c r="D34" s="2"/>
      <c r="E34" s="2"/>
      <c r="F34" s="2"/>
    </row>
    <row r="35" spans="1:6" x14ac:dyDescent="0.25">
      <c r="A35" s="10" t="s">
        <v>112</v>
      </c>
      <c r="B35" s="10" t="s">
        <v>113</v>
      </c>
      <c r="C35" s="10" t="s">
        <v>114</v>
      </c>
      <c r="D35" s="10" t="s">
        <v>115</v>
      </c>
      <c r="E35" s="10" t="s">
        <v>8</v>
      </c>
      <c r="F35" s="10" t="s">
        <v>10</v>
      </c>
    </row>
    <row r="36" spans="1:6" x14ac:dyDescent="0.25">
      <c r="A36" t="s">
        <v>116</v>
      </c>
      <c r="B36" t="s">
        <v>117</v>
      </c>
      <c r="C36" t="s">
        <v>118</v>
      </c>
      <c r="D36" t="s">
        <v>119</v>
      </c>
      <c r="E36" t="s">
        <v>120</v>
      </c>
      <c r="F36" t="s">
        <v>121</v>
      </c>
    </row>
    <row r="37" spans="1:6" x14ac:dyDescent="0.25">
      <c r="A37" t="s">
        <v>122</v>
      </c>
      <c r="B37" t="s">
        <v>123</v>
      </c>
      <c r="C37" t="s">
        <v>124</v>
      </c>
      <c r="D37" t="s">
        <v>125</v>
      </c>
      <c r="E37" t="s">
        <v>103</v>
      </c>
      <c r="F37" t="s">
        <v>126</v>
      </c>
    </row>
    <row r="38" spans="1:6" x14ac:dyDescent="0.25">
      <c r="A38" t="s">
        <v>127</v>
      </c>
      <c r="B38" t="s">
        <v>128</v>
      </c>
      <c r="C38" t="s">
        <v>129</v>
      </c>
      <c r="D38" t="s">
        <v>130</v>
      </c>
      <c r="E38" t="s">
        <v>120</v>
      </c>
      <c r="F38" t="s">
        <v>131</v>
      </c>
    </row>
    <row r="39" spans="1:6" x14ac:dyDescent="0.25">
      <c r="A39" t="s">
        <v>132</v>
      </c>
      <c r="B39" t="s">
        <v>133</v>
      </c>
      <c r="C39" t="s">
        <v>134</v>
      </c>
      <c r="D39" t="s">
        <v>135</v>
      </c>
      <c r="E39" t="s">
        <v>136</v>
      </c>
      <c r="F39" t="s">
        <v>137</v>
      </c>
    </row>
    <row r="40" spans="1:6" x14ac:dyDescent="0.25">
      <c r="A40" t="s">
        <v>138</v>
      </c>
      <c r="B40" t="s">
        <v>139</v>
      </c>
      <c r="C40" t="s">
        <v>140</v>
      </c>
      <c r="D40" t="s">
        <v>141</v>
      </c>
      <c r="E40" t="s">
        <v>142</v>
      </c>
      <c r="F40" t="s">
        <v>143</v>
      </c>
    </row>
    <row r="41" spans="1:6" x14ac:dyDescent="0.25">
      <c r="A41" t="s">
        <v>144</v>
      </c>
      <c r="B41" t="s">
        <v>145</v>
      </c>
      <c r="C41" t="s">
        <v>146</v>
      </c>
      <c r="D41" t="s">
        <v>147</v>
      </c>
      <c r="E41" t="s">
        <v>142</v>
      </c>
      <c r="F41" t="s">
        <v>148</v>
      </c>
    </row>
    <row r="43" spans="1:6" x14ac:dyDescent="0.25">
      <c r="A43" s="11" t="s">
        <v>149</v>
      </c>
      <c r="B43" s="2"/>
      <c r="C43" s="2"/>
      <c r="D43" s="2"/>
      <c r="E43" s="2"/>
      <c r="F43" s="2"/>
    </row>
    <row r="44" spans="1:6" x14ac:dyDescent="0.25">
      <c r="A44" s="5" t="s">
        <v>150</v>
      </c>
      <c r="B44" s="5" t="s">
        <v>151</v>
      </c>
      <c r="C44" s="5" t="s">
        <v>152</v>
      </c>
      <c r="D44" s="5" t="s">
        <v>8</v>
      </c>
      <c r="E44" s="5" t="s">
        <v>126</v>
      </c>
      <c r="F44" s="5" t="s">
        <v>153</v>
      </c>
    </row>
    <row r="45" spans="1:6" x14ac:dyDescent="0.25">
      <c r="A45" t="s">
        <v>154</v>
      </c>
      <c r="B45" t="s">
        <v>155</v>
      </c>
      <c r="C45" t="s">
        <v>156</v>
      </c>
      <c r="D45" t="s">
        <v>103</v>
      </c>
      <c r="E45" t="s">
        <v>65</v>
      </c>
      <c r="F45" t="s">
        <v>157</v>
      </c>
    </row>
    <row r="46" spans="1:6" x14ac:dyDescent="0.25">
      <c r="A46" t="s">
        <v>153</v>
      </c>
      <c r="B46" t="s">
        <v>158</v>
      </c>
      <c r="C46" t="s">
        <v>159</v>
      </c>
      <c r="D46" t="s">
        <v>157</v>
      </c>
      <c r="E46" t="s">
        <v>65</v>
      </c>
      <c r="F46" t="s">
        <v>160</v>
      </c>
    </row>
    <row r="47" spans="1:6" x14ac:dyDescent="0.25">
      <c r="A47" t="s">
        <v>161</v>
      </c>
      <c r="B47" t="s">
        <v>162</v>
      </c>
      <c r="C47" t="s">
        <v>163</v>
      </c>
      <c r="D47" t="s">
        <v>120</v>
      </c>
      <c r="E47" t="s">
        <v>65</v>
      </c>
      <c r="F47" t="s">
        <v>164</v>
      </c>
    </row>
    <row r="48" spans="1:6" x14ac:dyDescent="0.25">
      <c r="A48" t="s">
        <v>165</v>
      </c>
      <c r="B48" t="s">
        <v>166</v>
      </c>
      <c r="C48" t="s">
        <v>167</v>
      </c>
      <c r="D48" t="s">
        <v>168</v>
      </c>
      <c r="E48" t="s">
        <v>65</v>
      </c>
      <c r="F48" t="s">
        <v>142</v>
      </c>
    </row>
    <row r="49" spans="1:6" x14ac:dyDescent="0.25">
      <c r="A49" t="s">
        <v>169</v>
      </c>
      <c r="B49" t="s">
        <v>170</v>
      </c>
      <c r="C49" t="s">
        <v>171</v>
      </c>
      <c r="D49" t="s">
        <v>172</v>
      </c>
      <c r="E49" t="s">
        <v>65</v>
      </c>
      <c r="F49" t="s">
        <v>142</v>
      </c>
    </row>
    <row r="51" spans="1:6" x14ac:dyDescent="0.25">
      <c r="A51" s="12" t="s">
        <v>173</v>
      </c>
      <c r="B51" s="2"/>
      <c r="C51" s="2"/>
      <c r="D51" s="2"/>
      <c r="E51" s="2"/>
      <c r="F51" s="2"/>
    </row>
    <row r="52" spans="1:6" x14ac:dyDescent="0.25">
      <c r="A52" s="13" t="s">
        <v>150</v>
      </c>
      <c r="B52" s="13" t="s">
        <v>113</v>
      </c>
      <c r="C52" s="13" t="s">
        <v>152</v>
      </c>
      <c r="D52" s="13" t="s">
        <v>115</v>
      </c>
      <c r="E52" s="13" t="s">
        <v>8</v>
      </c>
      <c r="F52" s="13" t="s">
        <v>10</v>
      </c>
    </row>
    <row r="53" spans="1:6" x14ac:dyDescent="0.25">
      <c r="A53" t="s">
        <v>174</v>
      </c>
      <c r="B53" t="s">
        <v>175</v>
      </c>
      <c r="C53" t="s">
        <v>176</v>
      </c>
      <c r="D53" t="s">
        <v>177</v>
      </c>
      <c r="E53" t="s">
        <v>103</v>
      </c>
      <c r="F53" t="s">
        <v>178</v>
      </c>
    </row>
    <row r="54" spans="1:6" x14ac:dyDescent="0.25">
      <c r="A54" t="s">
        <v>47</v>
      </c>
      <c r="B54" t="s">
        <v>179</v>
      </c>
      <c r="C54" t="s">
        <v>180</v>
      </c>
      <c r="D54" t="s">
        <v>50</v>
      </c>
      <c r="E54" t="s">
        <v>93</v>
      </c>
      <c r="F54" t="s">
        <v>51</v>
      </c>
    </row>
    <row r="55" spans="1:6" x14ac:dyDescent="0.25">
      <c r="A55" t="s">
        <v>181</v>
      </c>
      <c r="B55" t="s">
        <v>182</v>
      </c>
      <c r="C55" t="s">
        <v>183</v>
      </c>
      <c r="D55" t="s">
        <v>184</v>
      </c>
      <c r="E55" t="s">
        <v>103</v>
      </c>
      <c r="F55" t="s">
        <v>185</v>
      </c>
    </row>
    <row r="56" spans="1:6" x14ac:dyDescent="0.25">
      <c r="A56" t="s">
        <v>186</v>
      </c>
      <c r="B56" t="s">
        <v>133</v>
      </c>
      <c r="C56" t="s">
        <v>187</v>
      </c>
      <c r="D56" t="s">
        <v>51</v>
      </c>
      <c r="E56" t="s">
        <v>103</v>
      </c>
      <c r="F56" t="s">
        <v>188</v>
      </c>
    </row>
    <row r="57" spans="1:6" x14ac:dyDescent="0.25">
      <c r="A57" t="s">
        <v>189</v>
      </c>
      <c r="B57" t="s">
        <v>190</v>
      </c>
      <c r="C57" t="s">
        <v>191</v>
      </c>
      <c r="D57" t="s">
        <v>192</v>
      </c>
      <c r="E57" t="s">
        <v>93</v>
      </c>
      <c r="F57" t="s">
        <v>193</v>
      </c>
    </row>
    <row r="59" spans="1:6" x14ac:dyDescent="0.25">
      <c r="A59" s="9" t="s">
        <v>194</v>
      </c>
      <c r="B59" s="2"/>
      <c r="C59" s="2"/>
      <c r="D59" s="2"/>
      <c r="E59" s="2"/>
      <c r="F59" s="2"/>
    </row>
    <row r="60" spans="1:6" x14ac:dyDescent="0.25">
      <c r="A60" s="10" t="s">
        <v>3</v>
      </c>
      <c r="B60" s="10" t="s">
        <v>195</v>
      </c>
      <c r="C60" s="10" t="s">
        <v>58</v>
      </c>
      <c r="D60" s="10" t="s">
        <v>196</v>
      </c>
      <c r="E60" s="10" t="s">
        <v>197</v>
      </c>
      <c r="F60" s="10" t="s">
        <v>8</v>
      </c>
    </row>
    <row r="61" spans="1:6" x14ac:dyDescent="0.25">
      <c r="A61" t="s">
        <v>198</v>
      </c>
      <c r="B61" s="14">
        <v>5.1600000000000001E+76</v>
      </c>
      <c r="C61" t="s">
        <v>199</v>
      </c>
      <c r="D61">
        <v>76.709999999999994</v>
      </c>
      <c r="E61" t="s">
        <v>200</v>
      </c>
      <c r="F61" t="s">
        <v>201</v>
      </c>
    </row>
    <row r="62" spans="1:6" x14ac:dyDescent="0.25">
      <c r="A62" t="s">
        <v>202</v>
      </c>
      <c r="B62" s="14">
        <v>6.5000000000000004E-47</v>
      </c>
      <c r="C62" t="s">
        <v>203</v>
      </c>
      <c r="D62">
        <v>-46.19</v>
      </c>
      <c r="E62" t="s">
        <v>204</v>
      </c>
      <c r="F62" t="s">
        <v>205</v>
      </c>
    </row>
    <row r="63" spans="1:6" x14ac:dyDescent="0.25">
      <c r="A63" t="s">
        <v>206</v>
      </c>
      <c r="B63">
        <f>D61-D62</f>
        <v>122.89999999999999</v>
      </c>
      <c r="C63" t="s">
        <v>207</v>
      </c>
      <c r="D63">
        <v>122.9</v>
      </c>
      <c r="E63" t="s">
        <v>208</v>
      </c>
      <c r="F63" t="s">
        <v>209</v>
      </c>
    </row>
    <row r="64" spans="1:6" x14ac:dyDescent="0.25">
      <c r="A64" t="s">
        <v>18</v>
      </c>
      <c r="B64">
        <v>17</v>
      </c>
      <c r="C64" t="s">
        <v>19</v>
      </c>
      <c r="D64">
        <f>LOG10(17)</f>
        <v>1.2304489213782739</v>
      </c>
      <c r="E64">
        <v>1.23</v>
      </c>
      <c r="F64" t="s">
        <v>93</v>
      </c>
    </row>
    <row r="65" spans="1:6" x14ac:dyDescent="0.25">
      <c r="A65" t="s">
        <v>210</v>
      </c>
      <c r="B65">
        <v>1.2304489213783001</v>
      </c>
      <c r="D65">
        <v>1.23</v>
      </c>
      <c r="E65" t="s">
        <v>211</v>
      </c>
      <c r="F65" t="s">
        <v>212</v>
      </c>
    </row>
    <row r="66" spans="1:6" x14ac:dyDescent="0.25">
      <c r="A66" t="s">
        <v>213</v>
      </c>
      <c r="B66">
        <v>99.88</v>
      </c>
      <c r="C66" t="s">
        <v>214</v>
      </c>
      <c r="D66">
        <v>99.92</v>
      </c>
      <c r="E66" t="s">
        <v>215</v>
      </c>
      <c r="F66" t="s">
        <v>93</v>
      </c>
    </row>
    <row r="67" spans="1:6" x14ac:dyDescent="0.25">
      <c r="A67" t="s">
        <v>216</v>
      </c>
      <c r="B67">
        <v>9.0200000000000005E-124</v>
      </c>
      <c r="C67" t="s">
        <v>217</v>
      </c>
      <c r="D67">
        <v>-123.04</v>
      </c>
      <c r="E67" t="s">
        <v>218</v>
      </c>
      <c r="F67" t="s">
        <v>219</v>
      </c>
    </row>
    <row r="68" spans="1:6" x14ac:dyDescent="0.25">
      <c r="A68" t="s">
        <v>220</v>
      </c>
      <c r="B68">
        <v>99.96</v>
      </c>
      <c r="C68" t="s">
        <v>221</v>
      </c>
      <c r="E68" t="s">
        <v>222</v>
      </c>
      <c r="F68" t="s">
        <v>65</v>
      </c>
    </row>
    <row r="69" spans="1:6" x14ac:dyDescent="0.25">
      <c r="A69" s="6" t="s">
        <v>79</v>
      </c>
      <c r="B69" s="6" t="s">
        <v>223</v>
      </c>
      <c r="C69" s="6" t="s">
        <v>224</v>
      </c>
      <c r="D69" s="6" t="s">
        <v>225</v>
      </c>
      <c r="E69" s="6" t="s">
        <v>226</v>
      </c>
      <c r="F69" s="6" t="s">
        <v>93</v>
      </c>
    </row>
    <row r="71" spans="1:6" x14ac:dyDescent="0.25">
      <c r="A71" s="15" t="s">
        <v>227</v>
      </c>
      <c r="B71" s="2"/>
      <c r="C71" s="2"/>
      <c r="D71" s="2"/>
      <c r="E71" s="2"/>
      <c r="F71" s="2"/>
    </row>
    <row r="72" spans="1:6" x14ac:dyDescent="0.25">
      <c r="A72" s="16" t="s">
        <v>228</v>
      </c>
      <c r="B72" s="16" t="s">
        <v>229</v>
      </c>
      <c r="C72" s="16" t="s">
        <v>197</v>
      </c>
      <c r="D72" s="16" t="s">
        <v>58</v>
      </c>
      <c r="E72" s="16" t="s">
        <v>195</v>
      </c>
      <c r="F72" s="16" t="s">
        <v>8</v>
      </c>
    </row>
    <row r="73" spans="1:6" x14ac:dyDescent="0.25">
      <c r="A73" t="s">
        <v>230</v>
      </c>
      <c r="B73" t="s">
        <v>231</v>
      </c>
      <c r="C73" t="s">
        <v>232</v>
      </c>
      <c r="D73">
        <f>12200000000000000000</f>
        <v>1.22E+19</v>
      </c>
      <c r="E73" t="s">
        <v>233</v>
      </c>
      <c r="F73" t="s">
        <v>201</v>
      </c>
    </row>
    <row r="74" spans="1:6" x14ac:dyDescent="0.25">
      <c r="A74" t="s">
        <v>234</v>
      </c>
      <c r="B74" t="s">
        <v>235</v>
      </c>
      <c r="C74" t="s">
        <v>236</v>
      </c>
      <c r="D74">
        <f>0.0000000000023</f>
        <v>2.2999999999999999E-12</v>
      </c>
      <c r="E74" t="s">
        <v>237</v>
      </c>
      <c r="F74" t="s">
        <v>205</v>
      </c>
    </row>
    <row r="75" spans="1:6" x14ac:dyDescent="0.25">
      <c r="A75" t="s">
        <v>238</v>
      </c>
      <c r="B75" t="s">
        <v>239</v>
      </c>
      <c r="C75" t="s">
        <v>240</v>
      </c>
      <c r="D75">
        <f>D73/D74</f>
        <v>5.3043478260869568E+30</v>
      </c>
      <c r="E75" t="s">
        <v>241</v>
      </c>
      <c r="F75" t="s">
        <v>212</v>
      </c>
    </row>
    <row r="76" spans="1:6" x14ac:dyDescent="0.25">
      <c r="A76" t="s">
        <v>242</v>
      </c>
      <c r="B76" t="s">
        <v>243</v>
      </c>
      <c r="C76" t="s">
        <v>244</v>
      </c>
      <c r="D76">
        <f>LOG10(D75)</f>
        <v>30.724631994657155</v>
      </c>
      <c r="E76" t="s">
        <v>245</v>
      </c>
      <c r="F76" t="s">
        <v>212</v>
      </c>
    </row>
    <row r="77" spans="1:6" x14ac:dyDescent="0.25">
      <c r="A77" t="s">
        <v>246</v>
      </c>
      <c r="B77" t="s">
        <v>247</v>
      </c>
      <c r="C77" t="s">
        <v>248</v>
      </c>
      <c r="D77">
        <f>4*D76</f>
        <v>122.89852797862862</v>
      </c>
      <c r="E77" t="s">
        <v>208</v>
      </c>
      <c r="F77" t="s">
        <v>212</v>
      </c>
    </row>
    <row r="78" spans="1:6" x14ac:dyDescent="0.25">
      <c r="A78" t="s">
        <v>249</v>
      </c>
      <c r="B78" t="s">
        <v>250</v>
      </c>
      <c r="C78" t="s">
        <v>251</v>
      </c>
      <c r="D78">
        <f>D77/LOG10(17)</f>
        <v>99.881048163271316</v>
      </c>
      <c r="E78" t="s">
        <v>215</v>
      </c>
      <c r="F78" t="s">
        <v>93</v>
      </c>
    </row>
    <row r="79" spans="1:6" x14ac:dyDescent="0.25">
      <c r="A79" s="6" t="s">
        <v>79</v>
      </c>
      <c r="B79" s="6" t="s">
        <v>252</v>
      </c>
      <c r="C79" s="6" t="s">
        <v>253</v>
      </c>
      <c r="D79" s="6" t="s">
        <v>82</v>
      </c>
      <c r="E79" s="6" t="s">
        <v>254</v>
      </c>
      <c r="F79" s="6" t="s">
        <v>65</v>
      </c>
    </row>
    <row r="81" spans="1:6" x14ac:dyDescent="0.25">
      <c r="A81" s="17" t="s">
        <v>255</v>
      </c>
      <c r="B81" s="2"/>
      <c r="C81" s="2"/>
      <c r="D81" s="2"/>
      <c r="E81" s="2"/>
      <c r="F81" s="2"/>
    </row>
    <row r="82" spans="1:6" x14ac:dyDescent="0.25">
      <c r="A82" s="18" t="s">
        <v>256</v>
      </c>
      <c r="B82" s="18" t="s">
        <v>197</v>
      </c>
      <c r="C82" s="18" t="s">
        <v>257</v>
      </c>
      <c r="D82" s="18" t="s">
        <v>258</v>
      </c>
      <c r="E82" s="18" t="s">
        <v>259</v>
      </c>
      <c r="F82" s="18" t="s">
        <v>10</v>
      </c>
    </row>
    <row r="83" spans="1:6" x14ac:dyDescent="0.25">
      <c r="A83" t="s">
        <v>260</v>
      </c>
      <c r="B83" t="s">
        <v>261</v>
      </c>
      <c r="C83" t="s">
        <v>262</v>
      </c>
      <c r="D83" t="s">
        <v>263</v>
      </c>
      <c r="E83" t="s">
        <v>121</v>
      </c>
      <c r="F83" t="s">
        <v>264</v>
      </c>
    </row>
    <row r="84" spans="1:6" x14ac:dyDescent="0.25">
      <c r="A84" t="s">
        <v>265</v>
      </c>
      <c r="B84" t="s">
        <v>266</v>
      </c>
      <c r="C84" t="s">
        <v>267</v>
      </c>
      <c r="D84" t="s">
        <v>268</v>
      </c>
      <c r="E84" t="s">
        <v>269</v>
      </c>
      <c r="F84" t="s">
        <v>270</v>
      </c>
    </row>
    <row r="85" spans="1:6" x14ac:dyDescent="0.25">
      <c r="A85" t="s">
        <v>271</v>
      </c>
      <c r="B85" t="s">
        <v>272</v>
      </c>
      <c r="C85" t="s">
        <v>262</v>
      </c>
      <c r="D85" t="s">
        <v>273</v>
      </c>
      <c r="E85" t="s">
        <v>274</v>
      </c>
      <c r="F85" t="s">
        <v>275</v>
      </c>
    </row>
    <row r="87" spans="1:6" x14ac:dyDescent="0.25">
      <c r="A87" s="19" t="s">
        <v>276</v>
      </c>
      <c r="B87" s="2"/>
      <c r="C87" s="2"/>
      <c r="D87" s="2"/>
      <c r="E87" s="2"/>
      <c r="F87" s="2"/>
    </row>
    <row r="88" spans="1:6" x14ac:dyDescent="0.25">
      <c r="A88" s="20" t="s">
        <v>277</v>
      </c>
      <c r="B88" s="20" t="s">
        <v>278</v>
      </c>
      <c r="C88" s="20" t="s">
        <v>279</v>
      </c>
      <c r="D88" s="20" t="s">
        <v>280</v>
      </c>
      <c r="E88" s="20" t="s">
        <v>281</v>
      </c>
      <c r="F88" s="20" t="s">
        <v>8</v>
      </c>
    </row>
    <row r="89" spans="1:6" x14ac:dyDescent="0.25">
      <c r="A89" t="s">
        <v>282</v>
      </c>
      <c r="B89" s="8">
        <v>1</v>
      </c>
      <c r="C89" t="s">
        <v>91</v>
      </c>
      <c r="D89" s="8">
        <v>1</v>
      </c>
      <c r="E89" s="8">
        <v>1</v>
      </c>
      <c r="F89" t="s">
        <v>83</v>
      </c>
    </row>
    <row r="90" spans="1:6" x14ac:dyDescent="0.25">
      <c r="A90" t="s">
        <v>283</v>
      </c>
      <c r="B90" s="8">
        <v>1</v>
      </c>
      <c r="C90" s="8">
        <v>0.85</v>
      </c>
      <c r="D90" s="8">
        <v>0.15</v>
      </c>
      <c r="E90" s="8">
        <v>1</v>
      </c>
      <c r="F90" t="s">
        <v>83</v>
      </c>
    </row>
    <row r="91" spans="1:6" x14ac:dyDescent="0.25">
      <c r="A91" t="s">
        <v>284</v>
      </c>
      <c r="B91" s="8">
        <v>1</v>
      </c>
      <c r="C91" s="8">
        <v>0.7</v>
      </c>
      <c r="D91" s="8">
        <v>0.3</v>
      </c>
      <c r="E91" s="8">
        <v>1</v>
      </c>
      <c r="F91" t="s">
        <v>83</v>
      </c>
    </row>
    <row r="92" spans="1:6" x14ac:dyDescent="0.25">
      <c r="A92" t="s">
        <v>100</v>
      </c>
      <c r="B92" s="8">
        <v>1</v>
      </c>
      <c r="C92" s="8">
        <v>0.2</v>
      </c>
      <c r="D92" s="8">
        <v>0.8</v>
      </c>
      <c r="E92" s="8">
        <v>1</v>
      </c>
      <c r="F92" t="s">
        <v>83</v>
      </c>
    </row>
    <row r="93" spans="1:6" x14ac:dyDescent="0.25">
      <c r="A93" t="s">
        <v>116</v>
      </c>
      <c r="B93" s="8">
        <v>0.9</v>
      </c>
      <c r="C93" s="8">
        <v>0.1</v>
      </c>
      <c r="D93" s="8">
        <v>0.8</v>
      </c>
      <c r="E93" s="8">
        <v>1</v>
      </c>
      <c r="F93" t="s">
        <v>285</v>
      </c>
    </row>
    <row r="94" spans="1:6" x14ac:dyDescent="0.25">
      <c r="A94" t="s">
        <v>286</v>
      </c>
      <c r="B94" s="8">
        <v>0.85</v>
      </c>
      <c r="C94" s="8">
        <v>0.2</v>
      </c>
      <c r="D94" s="8">
        <v>0.65</v>
      </c>
      <c r="E94" s="8">
        <v>1</v>
      </c>
      <c r="F94" t="s">
        <v>285</v>
      </c>
    </row>
    <row r="95" spans="1:6" x14ac:dyDescent="0.25">
      <c r="A95" t="s">
        <v>287</v>
      </c>
      <c r="B95" s="8">
        <v>1</v>
      </c>
      <c r="C95" s="8">
        <v>0</v>
      </c>
      <c r="D95" s="8">
        <v>1</v>
      </c>
      <c r="E95" s="8">
        <v>1</v>
      </c>
      <c r="F95" t="s">
        <v>93</v>
      </c>
    </row>
    <row r="96" spans="1:6" x14ac:dyDescent="0.25">
      <c r="A96" t="s">
        <v>288</v>
      </c>
      <c r="B96" s="8">
        <v>0.3</v>
      </c>
      <c r="C96" s="8">
        <v>0.3</v>
      </c>
      <c r="D96" s="8">
        <v>0</v>
      </c>
      <c r="E96" s="8">
        <v>1</v>
      </c>
      <c r="F96" t="s">
        <v>289</v>
      </c>
    </row>
    <row r="97" spans="1:6" x14ac:dyDescent="0.25">
      <c r="A97" s="21" t="s">
        <v>290</v>
      </c>
      <c r="B97" s="21">
        <f>AVERAGE(88,100,100,100,90,85,100,30)</f>
        <v>86.625</v>
      </c>
      <c r="C97" s="21"/>
      <c r="D97" s="21"/>
      <c r="E97" s="21"/>
      <c r="F97" s="21"/>
    </row>
    <row r="99" spans="1:6" x14ac:dyDescent="0.25">
      <c r="A99" s="22" t="s">
        <v>291</v>
      </c>
      <c r="B99" s="2"/>
      <c r="C99" s="2"/>
      <c r="D99" s="2"/>
      <c r="E99" s="2"/>
      <c r="F99" s="2"/>
    </row>
    <row r="100" spans="1:6" x14ac:dyDescent="0.25">
      <c r="A100" s="23" t="s">
        <v>292</v>
      </c>
      <c r="B100" s="23" t="s">
        <v>293</v>
      </c>
      <c r="C100" s="23" t="s">
        <v>279</v>
      </c>
      <c r="D100" s="23" t="s">
        <v>294</v>
      </c>
      <c r="E100" s="23" t="s">
        <v>280</v>
      </c>
      <c r="F100" s="23" t="s">
        <v>8</v>
      </c>
    </row>
    <row r="101" spans="1:6" x14ac:dyDescent="0.25">
      <c r="A101" t="s">
        <v>295</v>
      </c>
      <c r="B101" t="s">
        <v>296</v>
      </c>
      <c r="C101" s="8">
        <v>0.48</v>
      </c>
      <c r="D101" s="8">
        <v>0.85</v>
      </c>
      <c r="E101" s="8">
        <v>0.37</v>
      </c>
      <c r="F101" t="s">
        <v>285</v>
      </c>
    </row>
    <row r="102" spans="1:6" x14ac:dyDescent="0.25">
      <c r="A102" t="s">
        <v>297</v>
      </c>
      <c r="B102" t="s">
        <v>298</v>
      </c>
      <c r="C102" s="8">
        <v>0.9</v>
      </c>
      <c r="D102" s="8">
        <v>1</v>
      </c>
      <c r="E102" s="8">
        <v>0.1</v>
      </c>
      <c r="F102" t="s">
        <v>83</v>
      </c>
    </row>
    <row r="103" spans="1:6" x14ac:dyDescent="0.25">
      <c r="A103" t="s">
        <v>299</v>
      </c>
      <c r="B103" t="s">
        <v>300</v>
      </c>
      <c r="C103" s="8">
        <v>0.8</v>
      </c>
      <c r="D103" s="8">
        <v>1</v>
      </c>
      <c r="E103" s="8">
        <v>0.2</v>
      </c>
      <c r="F103" t="s">
        <v>83</v>
      </c>
    </row>
    <row r="104" spans="1:6" x14ac:dyDescent="0.25">
      <c r="A104" t="s">
        <v>301</v>
      </c>
      <c r="B104" t="s">
        <v>302</v>
      </c>
      <c r="C104" s="8">
        <v>0.7</v>
      </c>
      <c r="D104" s="8">
        <v>1</v>
      </c>
      <c r="E104" s="8">
        <v>0.3</v>
      </c>
      <c r="F104" t="s">
        <v>93</v>
      </c>
    </row>
    <row r="105" spans="1:6" x14ac:dyDescent="0.25">
      <c r="A105" t="s">
        <v>303</v>
      </c>
      <c r="B105" t="s">
        <v>304</v>
      </c>
      <c r="C105" s="8">
        <v>0.8</v>
      </c>
      <c r="D105" s="8">
        <v>0.95</v>
      </c>
      <c r="E105" s="8">
        <v>0.15</v>
      </c>
      <c r="F105" t="s">
        <v>83</v>
      </c>
    </row>
    <row r="107" spans="1:6" x14ac:dyDescent="0.25">
      <c r="A107" t="s">
        <v>305</v>
      </c>
      <c r="B107" t="s">
        <v>306</v>
      </c>
      <c r="C107" s="8">
        <v>0.45</v>
      </c>
      <c r="D107" s="8">
        <v>0.9</v>
      </c>
      <c r="E107" s="8">
        <v>0.45</v>
      </c>
      <c r="F107" t="s">
        <v>285</v>
      </c>
    </row>
    <row r="108" spans="1:6" x14ac:dyDescent="0.25">
      <c r="A108" t="s">
        <v>307</v>
      </c>
      <c r="B108" t="s">
        <v>154</v>
      </c>
      <c r="C108" s="8">
        <v>1</v>
      </c>
      <c r="D108" s="8">
        <v>1</v>
      </c>
      <c r="E108" s="8">
        <v>0</v>
      </c>
      <c r="F108" t="s">
        <v>83</v>
      </c>
    </row>
    <row r="109" spans="1:6" x14ac:dyDescent="0.25">
      <c r="A109" t="s">
        <v>308</v>
      </c>
      <c r="B109" t="s">
        <v>169</v>
      </c>
      <c r="C109" s="8">
        <v>0.9</v>
      </c>
      <c r="D109" s="8">
        <v>1</v>
      </c>
      <c r="E109" s="8">
        <v>0.1</v>
      </c>
      <c r="F109" t="s">
        <v>83</v>
      </c>
    </row>
    <row r="110" spans="1:6" x14ac:dyDescent="0.25">
      <c r="A110" t="s">
        <v>309</v>
      </c>
      <c r="B110" t="s">
        <v>310</v>
      </c>
      <c r="C110" s="8">
        <v>0.2</v>
      </c>
      <c r="D110" s="8">
        <v>1</v>
      </c>
      <c r="E110" s="8">
        <v>0.8</v>
      </c>
      <c r="F110" t="s">
        <v>225</v>
      </c>
    </row>
    <row r="111" spans="1:6" x14ac:dyDescent="0.25">
      <c r="A111" t="s">
        <v>311</v>
      </c>
      <c r="B111" t="s">
        <v>312</v>
      </c>
      <c r="C111" s="8">
        <v>0.2</v>
      </c>
      <c r="D111" s="8">
        <v>0.85</v>
      </c>
      <c r="E111" s="8">
        <v>0.65</v>
      </c>
      <c r="F111" t="s">
        <v>225</v>
      </c>
    </row>
    <row r="113" spans="1:6" x14ac:dyDescent="0.25">
      <c r="A113" s="6" t="s">
        <v>313</v>
      </c>
      <c r="B113" s="6" t="s">
        <v>314</v>
      </c>
      <c r="C113" s="24">
        <v>0.46500000000000002</v>
      </c>
      <c r="D113" s="24">
        <v>0.875</v>
      </c>
      <c r="E113" s="25">
        <v>0.41</v>
      </c>
      <c r="F113" s="6" t="s">
        <v>315</v>
      </c>
    </row>
    <row r="115" spans="1:6" x14ac:dyDescent="0.25">
      <c r="A115" s="26" t="s">
        <v>316</v>
      </c>
      <c r="B115" s="2"/>
      <c r="C115" s="2"/>
      <c r="D115" s="2"/>
      <c r="E115" s="2"/>
      <c r="F115" s="2"/>
    </row>
    <row r="116" spans="1:6" x14ac:dyDescent="0.25">
      <c r="A116" s="27" t="s">
        <v>317</v>
      </c>
      <c r="B116" s="27"/>
      <c r="C116" s="27"/>
      <c r="D116" s="27"/>
      <c r="E116" s="27"/>
      <c r="F116" s="27"/>
    </row>
    <row r="117" spans="1:6" x14ac:dyDescent="0.25">
      <c r="A117">
        <v>1</v>
      </c>
      <c r="B117" t="s">
        <v>318</v>
      </c>
      <c r="C117" t="s">
        <v>319</v>
      </c>
      <c r="F117" t="s">
        <v>65</v>
      </c>
    </row>
    <row r="118" spans="1:6" x14ac:dyDescent="0.25">
      <c r="A118">
        <v>2</v>
      </c>
      <c r="B118" t="s">
        <v>320</v>
      </c>
      <c r="C118" t="s">
        <v>319</v>
      </c>
      <c r="F118" t="s">
        <v>65</v>
      </c>
    </row>
    <row r="119" spans="1:6" x14ac:dyDescent="0.25">
      <c r="A119">
        <v>3</v>
      </c>
      <c r="B119" t="s">
        <v>321</v>
      </c>
      <c r="C119" t="s">
        <v>104</v>
      </c>
      <c r="F119" t="s">
        <v>65</v>
      </c>
    </row>
    <row r="120" spans="1:6" x14ac:dyDescent="0.25">
      <c r="A120">
        <v>4</v>
      </c>
      <c r="B120" t="s">
        <v>322</v>
      </c>
      <c r="C120" t="s">
        <v>323</v>
      </c>
      <c r="F120" t="s">
        <v>65</v>
      </c>
    </row>
    <row r="121" spans="1:6" x14ac:dyDescent="0.25">
      <c r="A121">
        <v>5</v>
      </c>
      <c r="B121" t="s">
        <v>324</v>
      </c>
      <c r="C121" t="s">
        <v>325</v>
      </c>
      <c r="F121" t="s">
        <v>65</v>
      </c>
    </row>
    <row r="122" spans="1:6" x14ac:dyDescent="0.25">
      <c r="A122">
        <v>6</v>
      </c>
      <c r="B122" t="s">
        <v>326</v>
      </c>
      <c r="C122" t="s">
        <v>327</v>
      </c>
      <c r="F122" t="s">
        <v>65</v>
      </c>
    </row>
    <row r="124" spans="1:6" x14ac:dyDescent="0.25">
      <c r="A124" s="27" t="s">
        <v>328</v>
      </c>
      <c r="B124" s="27"/>
      <c r="C124" s="27"/>
      <c r="D124" s="27"/>
      <c r="E124" s="27"/>
      <c r="F124" s="27"/>
    </row>
    <row r="125" spans="1:6" x14ac:dyDescent="0.25">
      <c r="A125">
        <v>1</v>
      </c>
      <c r="B125" t="s">
        <v>329</v>
      </c>
      <c r="C125" t="s">
        <v>262</v>
      </c>
      <c r="D125" t="s">
        <v>264</v>
      </c>
      <c r="F125" t="s">
        <v>289</v>
      </c>
    </row>
    <row r="126" spans="1:6" x14ac:dyDescent="0.25">
      <c r="A126">
        <v>2</v>
      </c>
      <c r="B126" t="s">
        <v>330</v>
      </c>
      <c r="C126" t="s">
        <v>267</v>
      </c>
      <c r="D126" t="s">
        <v>331</v>
      </c>
      <c r="F126" t="s">
        <v>289</v>
      </c>
    </row>
    <row r="127" spans="1:6" x14ac:dyDescent="0.25">
      <c r="A127">
        <v>3</v>
      </c>
      <c r="B127" t="s">
        <v>332</v>
      </c>
      <c r="C127" t="s">
        <v>262</v>
      </c>
      <c r="D127" t="s">
        <v>333</v>
      </c>
      <c r="F127" t="s">
        <v>289</v>
      </c>
    </row>
    <row r="129" spans="1:6" ht="15.75" x14ac:dyDescent="0.25">
      <c r="A129" s="28" t="s">
        <v>334</v>
      </c>
      <c r="B129" s="28" t="s">
        <v>335</v>
      </c>
      <c r="C129" s="28" t="s">
        <v>336</v>
      </c>
      <c r="D129" s="28" t="s">
        <v>337</v>
      </c>
      <c r="E129" s="28"/>
      <c r="F129" s="28"/>
    </row>
  </sheetData>
  <mergeCells count="14">
    <mergeCell ref="A99:F99"/>
    <mergeCell ref="A115:F115"/>
    <mergeCell ref="A43:F43"/>
    <mergeCell ref="A51:F51"/>
    <mergeCell ref="A59:F59"/>
    <mergeCell ref="A71:F71"/>
    <mergeCell ref="A81:F81"/>
    <mergeCell ref="A87:F87"/>
    <mergeCell ref="A1:H1"/>
    <mergeCell ref="A2:H2"/>
    <mergeCell ref="A4:H4"/>
    <mergeCell ref="A16:H16"/>
    <mergeCell ref="A25:F25"/>
    <mergeCell ref="A34:F34"/>
  </mergeCells>
  <pageMargins left="0.7" right="0.7" top="0.75" bottom="0.75" header="0.3" footer="0.3"/>
  <pageSetup paperSize="9" scale="47" orientation="portrait" verticalDpi="0" r:id="rId1"/>
  <rowBreaks count="1" manualBreakCount="1">
    <brk id="7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UST-Final-Rapor-v5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From Homosapiens To Homo[DATA]</dc:creator>
  <cp:lastModifiedBy>From Homosapiens To Homo[DATA]</cp:lastModifiedBy>
  <dcterms:created xsi:type="dcterms:W3CDTF">2026-04-23T11:00:29Z</dcterms:created>
  <dcterms:modified xsi:type="dcterms:W3CDTF">2026-04-23T11:00:30Z</dcterms:modified>
</cp:coreProperties>
</file>