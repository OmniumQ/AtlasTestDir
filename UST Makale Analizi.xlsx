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ismaKitabi" defaultThemeVersion="202300"/>
  <mc:AlternateContent xmlns:mc="http://schemas.openxmlformats.org/markup-compatibility/2006">
    <mc:Choice Requires="x15">
      <x15ac:absPath xmlns:x15ac="http://schemas.microsoft.com/office/spreadsheetml/2010/11/ac" url="C:\OmniumQ\"/>
    </mc:Choice>
  </mc:AlternateContent>
  <xr:revisionPtr revIDLastSave="0" documentId="8_{5E296235-AC84-49AC-9154-A70219A86507}" xr6:coauthVersionLast="47" xr6:coauthVersionMax="47" xr10:uidLastSave="{00000000-0000-0000-0000-000000000000}"/>
  <bookViews>
    <workbookView xWindow="-120" yWindow="-120" windowWidth="29040" windowHeight="15720" xr2:uid="{270F7905-4552-400E-B0D7-074605D59F25}"/>
  </bookViews>
  <sheets>
    <sheet name="UST Makale Analiz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59" i="1" l="1"/>
  <c r="B153" i="1"/>
  <c r="C95" i="1"/>
  <c r="B165" i="1" s="1"/>
  <c r="B81" i="1"/>
  <c r="E81" i="1" s="1"/>
  <c r="B80" i="1"/>
  <c r="E80" i="1" s="1"/>
  <c r="B79" i="1"/>
  <c r="E79" i="1" s="1"/>
  <c r="B78" i="1"/>
  <c r="E78" i="1" s="1"/>
  <c r="B77" i="1"/>
  <c r="D77" i="1" s="1"/>
  <c r="B76" i="1"/>
  <c r="E76" i="1" s="1"/>
  <c r="E68" i="1"/>
  <c r="H67" i="1"/>
  <c r="H68" i="1" s="1"/>
  <c r="E67" i="1"/>
  <c r="B67" i="1"/>
  <c r="B69" i="1" s="1"/>
  <c r="H66" i="1"/>
  <c r="B66" i="1"/>
  <c r="H65" i="1"/>
  <c r="B65" i="1"/>
  <c r="H64" i="1"/>
  <c r="E64" i="1"/>
  <c r="B64" i="1"/>
  <c r="H63" i="1"/>
  <c r="E63" i="1"/>
  <c r="B63" i="1"/>
  <c r="H13" i="1"/>
  <c r="H70" i="1" l="1"/>
  <c r="B160" i="1" s="1"/>
  <c r="B158" i="1"/>
  <c r="B70" i="1"/>
  <c r="B71" i="1" s="1"/>
  <c r="B155" i="1" s="1"/>
  <c r="B154" i="1"/>
  <c r="B152" i="1"/>
  <c r="D76" i="1"/>
  <c r="D79" i="1"/>
  <c r="C76" i="1"/>
  <c r="C77" i="1"/>
  <c r="C80" i="1"/>
  <c r="D80" i="1"/>
  <c r="E77" i="1"/>
  <c r="C78" i="1"/>
  <c r="B162" i="1"/>
  <c r="D78" i="1"/>
  <c r="D81" i="1"/>
  <c r="B163" i="1"/>
  <c r="C79" i="1"/>
  <c r="B157" i="1"/>
  <c r="C81" i="1"/>
</calcChain>
</file>

<file path=xl/sharedStrings.xml><?xml version="1.0" encoding="utf-8"?>
<sst xmlns="http://schemas.openxmlformats.org/spreadsheetml/2006/main" count="523" uniqueCount="392">
  <si>
    <t>🔬 UST v5 MAKALE DERİN ANALİZİ - Popperci Yanlışlanabilirlik &amp; Eksiklik Tespiti</t>
  </si>
  <si>
    <t>Niyazi Öcal (April 18, 2026) | Analiz: 22 Nisan 2026 | Analitik &amp; Rasyonel Değerlendirme</t>
  </si>
  <si>
    <t>📋 BÖLÜM 1: MAKALE YAPISI VE İDDİALARI</t>
  </si>
  <si>
    <t>Bölüm</t>
  </si>
  <si>
    <t>İçerik</t>
  </si>
  <si>
    <t>Mat.Temel</t>
  </si>
  <si>
    <t>Empirik</t>
  </si>
  <si>
    <t>Tutarlılık</t>
  </si>
  <si>
    <t>Popper</t>
  </si>
  <si>
    <t>Eksiklik</t>
  </si>
  <si>
    <t>Skor</t>
  </si>
  <si>
    <t>§1 Giriş</t>
  </si>
  <si>
    <t>17 özel özellikleri</t>
  </si>
  <si>
    <t>Asal,Fermat,Fib</t>
  </si>
  <si>
    <t>YOK</t>
  </si>
  <si>
    <t>✅</t>
  </si>
  <si>
    <t>⚠️Postüla</t>
  </si>
  <si>
    <t>Zorunluluk?</t>
  </si>
  <si>
    <t>§2 Matematik</t>
  </si>
  <si>
    <t>Fiber bundle</t>
  </si>
  <si>
    <t>Kategori,Cl(1,3)</t>
  </si>
  <si>
    <t>✅Standart</t>
  </si>
  <si>
    <t>Uygulama?</t>
  </si>
  <si>
    <t>§3 Einstein</t>
  </si>
  <si>
    <t>Modifiye denklem</t>
  </si>
  <si>
    <t>GR+UST</t>
  </si>
  <si>
    <t>Dolaylı</t>
  </si>
  <si>
    <t>✅Bianchi</t>
  </si>
  <si>
    <t>✅Test</t>
  </si>
  <si>
    <t>Cμν belirsiz</t>
  </si>
  <si>
    <t>§4 Λ Vakum</t>
  </si>
  <si>
    <t>ΛΩ Omnium</t>
  </si>
  <si>
    <t>Termodinamik</t>
  </si>
  <si>
    <t>KISMI</t>
  </si>
  <si>
    <t>⚠️10^-5</t>
  </si>
  <si>
    <t>⚠️Eksik</t>
  </si>
  <si>
    <t>10^115 fark!</t>
  </si>
  <si>
    <t>§5 Isı Çekir</t>
  </si>
  <si>
    <t>a₂=1/17, Nb</t>
  </si>
  <si>
    <t>Seeley-DeWitt</t>
  </si>
  <si>
    <t>%99.83?</t>
  </si>
  <si>
    <t>✅Hesap</t>
  </si>
  <si>
    <t>⚠️Kaynak?</t>
  </si>
  <si>
    <t>Baseline?</t>
  </si>
  <si>
    <t>§6 Tartışma</t>
  </si>
  <si>
    <t>Karşılaştırma</t>
  </si>
  <si>
    <t>Kavramsal</t>
  </si>
  <si>
    <t>N/A</t>
  </si>
  <si>
    <t>Detay yok</t>
  </si>
  <si>
    <t>§7 Sonuç</t>
  </si>
  <si>
    <t>17-D özet</t>
  </si>
  <si>
    <t>Sentez</t>
  </si>
  <si>
    <t>Nb uyum</t>
  </si>
  <si>
    <t>-</t>
  </si>
  <si>
    <t>ORTALAMA:</t>
  </si>
  <si>
    <t>🔢 BÖLÜM 2: MATEMATİKSEL İDDİALAR - KRİTİK ANALİZ</t>
  </si>
  <si>
    <t>#</t>
  </si>
  <si>
    <t>İddia</t>
  </si>
  <si>
    <t>Formül</t>
  </si>
  <si>
    <t>Kanıt</t>
  </si>
  <si>
    <t>Doğrulama</t>
  </si>
  <si>
    <t>Sorun</t>
  </si>
  <si>
    <t>Durum</t>
  </si>
  <si>
    <t>17 = 7. asal</t>
  </si>
  <si>
    <t>✅Doğru</t>
  </si>
  <si>
    <t>✅Doğrulanır</t>
  </si>
  <si>
    <t>Neden 7. asal özel?</t>
  </si>
  <si>
    <t>17 = 2⁴+1 Fermat</t>
  </si>
  <si>
    <t>3,5,17,257 de Fermat</t>
  </si>
  <si>
    <t>⚠️</t>
  </si>
  <si>
    <t>17 = (F7+F8)/2</t>
  </si>
  <si>
    <t>(13+21)/2</t>
  </si>
  <si>
    <t>Neden fiziksel?</t>
  </si>
  <si>
    <t>F = Q₁₆ ⊔ O₁</t>
  </si>
  <si>
    <t>16+1=17</t>
  </si>
  <si>
    <t>❌Postüla</t>
  </si>
  <si>
    <t>❌Doğrulanamaz</t>
  </si>
  <si>
    <t>ONTOLOJİK KABUL</t>
  </si>
  <si>
    <t>❌</t>
  </si>
  <si>
    <t>Cl(1,3) = 16-dim</t>
  </si>
  <si>
    <t>2⁴=16</t>
  </si>
  <si>
    <t>UST'ye özel değil</t>
  </si>
  <si>
    <t>SU(1) = {e}</t>
  </si>
  <si>
    <t>Trivial</t>
  </si>
  <si>
    <t>Omnium dinamik yok</t>
  </si>
  <si>
    <t>a₂ = 1/17</t>
  </si>
  <si>
    <t>❌Kaynak yok</t>
  </si>
  <si>
    <t>❌QFT'de YOK</t>
  </si>
  <si>
    <t>KRİTİK EKSİK</t>
  </si>
  <si>
    <t>Nb = (3-√3)/2-α/17</t>
  </si>
  <si>
    <t>❌Baseline?</t>
  </si>
  <si>
    <t>⚠️Kısmi</t>
  </si>
  <si>
    <t>(3-√3)/2 nereden?</t>
  </si>
  <si>
    <t>P(Q):P(O) = 3:2</t>
  </si>
  <si>
    <t>60%:40%</t>
  </si>
  <si>
    <t>⚠️Z fonk.</t>
  </si>
  <si>
    <t>✅Termo tutarlı</t>
  </si>
  <si>
    <t>TΩ keyfi mi?</t>
  </si>
  <si>
    <t>ρΩ ~ 10⁻⁵ ρPlanck</t>
  </si>
  <si>
    <t>Baskılama</t>
  </si>
  <si>
    <t>⚠️Kavram</t>
  </si>
  <si>
    <t>❌10⁻¹²⁰ olmalı</t>
  </si>
  <si>
    <t>10^115 FARK!</t>
  </si>
  <si>
    <t>⚛️ BÖLÜM 3: FİZİKSEL İDDİALAR - EMPİRİK TEST</t>
  </si>
  <si>
    <t>UST Tahmini</t>
  </si>
  <si>
    <t>Gözlem</t>
  </si>
  <si>
    <t>Uyum%</t>
  </si>
  <si>
    <t>Test?</t>
  </si>
  <si>
    <t>Nb parametre</t>
  </si>
  <si>
    <t>0.63354460?</t>
  </si>
  <si>
    <t>Modifiye Einstein</t>
  </si>
  <si>
    <t>Gμν+Λgμν-(α/17)Cμν</t>
  </si>
  <si>
    <t>Standart GR</t>
  </si>
  <si>
    <t>✅GW test</t>
  </si>
  <si>
    <t>Kozmolojik sabit</t>
  </si>
  <si>
    <t>10⁻⁵ ρPlanck</t>
  </si>
  <si>
    <t>10⁻¹²⁰ ρPlanck</t>
  </si>
  <si>
    <t>~0%</t>
  </si>
  <si>
    <t>✅Gözlem</t>
  </si>
  <si>
    <t>SM parçacık=17</t>
  </si>
  <si>
    <t>6+6+5=17</t>
  </si>
  <si>
    <t>17 parçacık</t>
  </si>
  <si>
    <t>✅Biliniyor</t>
  </si>
  <si>
    <t>Bianchi özdeşliği</t>
  </si>
  <si>
    <t>∇μGμν=0</t>
  </si>
  <si>
    <t>✅Matematik</t>
  </si>
  <si>
    <t>α/17 düzeltme</t>
  </si>
  <si>
    <t>~0.00043</t>
  </si>
  <si>
    <t>Ölçülmedi</t>
  </si>
  <si>
    <t>?</t>
  </si>
  <si>
    <t>✅LHC/LIGO</t>
  </si>
  <si>
    <t>❓</t>
  </si>
  <si>
    <t>Omnium gravitasyonel</t>
  </si>
  <si>
    <t>Yalnız kütleçekim</t>
  </si>
  <si>
    <t>DM?</t>
  </si>
  <si>
    <t>⚠️Dolaylı</t>
  </si>
  <si>
    <t>⚠️ BÖLÜM 4: KRİTİK EKSİKLİKLER - DÜRÜST DEĞERLENDİRME</t>
  </si>
  <si>
    <t>Makalede Durum</t>
  </si>
  <si>
    <t>Neden Kritik</t>
  </si>
  <si>
    <t>Popperci Değerlendirme</t>
  </si>
  <si>
    <t>Önem</t>
  </si>
  <si>
    <t>17 Zorunluluğu</t>
  </si>
  <si>
    <t>Postüla olarak kabul</t>
  </si>
  <si>
    <t>Neden 17? 19,23,31 neden değil?</t>
  </si>
  <si>
    <t>YANLIŞ­LANAMAZ</t>
  </si>
  <si>
    <t>KRİTİK</t>
  </si>
  <si>
    <t>a₂=1/17 kaynağı</t>
  </si>
  <si>
    <t>Türetim yok, kaynak yok</t>
  </si>
  <si>
    <t>Standart QFT'de bu değer YOK</t>
  </si>
  <si>
    <t>DOĞRULANAMAZ</t>
  </si>
  <si>
    <t>(3-√3)/2 baseline</t>
  </si>
  <si>
    <t>Gözlemden alındı itiraf</t>
  </si>
  <si>
    <t>Türetim yok, el koyma</t>
  </si>
  <si>
    <t>DÖNGÜSEL MANTIK</t>
  </si>
  <si>
    <t>Λ problemi</t>
  </si>
  <si>
    <t>10⁻⁵ vs 10⁻¹²⁰ fark</t>
  </si>
  <si>
    <t>115 büyüklük sırası fark!</t>
  </si>
  <si>
    <t>BAŞARISIZ</t>
  </si>
  <si>
    <t>Nb gözlem kaynağı</t>
  </si>
  <si>
    <t>Referans verilmemiş</t>
  </si>
  <si>
    <t>0.63354460 nereden?</t>
  </si>
  <si>
    <t>DOĞRULANABİLİR Mİ?</t>
  </si>
  <si>
    <t>YÜKSEK</t>
  </si>
  <si>
    <t>Cμν tensörü</t>
  </si>
  <si>
    <t>Şematik tanım: RμαβγR^αβγ</t>
  </si>
  <si>
    <t>Tam formül yok</t>
  </si>
  <si>
    <t>HESAPLANAMAZ</t>
  </si>
  <si>
    <t>QFT türetimi</t>
  </si>
  <si>
    <t>Companion paper'a ertelendi</t>
  </si>
  <si>
    <t>Makale eksik</t>
  </si>
  <si>
    <t>İNCELENEMEZ</t>
  </si>
  <si>
    <t>Deneysel tahmin</t>
  </si>
  <si>
    <t>Spesifik tahmin yok</t>
  </si>
  <si>
    <t>Test edilemez</t>
  </si>
  <si>
    <t>Wheeler-DeWitt</t>
  </si>
  <si>
    <t>Hiç yok</t>
  </si>
  <si>
    <t>Kuantum kozmoloji eksik</t>
  </si>
  <si>
    <t>EKSİK</t>
  </si>
  <si>
    <t>Dirac denklemi</t>
  </si>
  <si>
    <t>Fermiyonlar eksik</t>
  </si>
  <si>
    <t>✅ BÖLÜM 5: POZİTİF YÖNLER - DÜRÜST DEĞERLENDİRME</t>
  </si>
  <si>
    <t>Güçlü Yan</t>
  </si>
  <si>
    <t>Açıklama</t>
  </si>
  <si>
    <t>Bilimsel Değer</t>
  </si>
  <si>
    <t>Potansiyel</t>
  </si>
  <si>
    <t>Matematiksel tutarlılık</t>
  </si>
  <si>
    <t>Fiber bundle formalizmi doğru</t>
  </si>
  <si>
    <t>✅ Standart matematik</t>
  </si>
  <si>
    <t>Bianchi korunumu</t>
  </si>
  <si>
    <t>Modifiye denklem geometrik tutarlı</t>
  </si>
  <si>
    <t>✅ GR ile uyumlu</t>
  </si>
  <si>
    <t>Kavramsal yenilik</t>
  </si>
  <si>
    <t>Q₁₆⊔O₁ ayrımı ilginç</t>
  </si>
  <si>
    <t>⚠️ Spekülatif ama özgün</t>
  </si>
  <si>
    <t>ORTA</t>
  </si>
  <si>
    <t>Fibonacci bağlantısı</t>
  </si>
  <si>
    <t>3:2 oranı termodinamikten</t>
  </si>
  <si>
    <t>✅ Elegant matematik</t>
  </si>
  <si>
    <t>Cl(1,3) kullanımı</t>
  </si>
  <si>
    <t>Clifford cebiri fiziksel</t>
  </si>
  <si>
    <t>✅ Standart fizik</t>
  </si>
  <si>
    <t>Açık problemler listesi</t>
  </si>
  <si>
    <t>Eksiklikleri kabul ediyor</t>
  </si>
  <si>
    <t>✅ Dürüst yaklaşım</t>
  </si>
  <si>
    <t>POZİTİF</t>
  </si>
  <si>
    <t>Test edilebilirlik niyeti</t>
  </si>
  <si>
    <t>LHC, LIGO'dan bahsediyor</t>
  </si>
  <si>
    <t>⚠️ Spesifik değil</t>
  </si>
  <si>
    <t>POTANSİYEL</t>
  </si>
  <si>
    <t>🔢 BÖLÜM 6: SAYISAL DOĞRULAMA - EXCEL HESAPLARI</t>
  </si>
  <si>
    <t>Parametre</t>
  </si>
  <si>
    <t>Değer</t>
  </si>
  <si>
    <t>17 Özelliği</t>
  </si>
  <si>
    <t>Λ Hesabı</t>
  </si>
  <si>
    <t>α (ince yapı)</t>
  </si>
  <si>
    <t>2⁴+1 = 17?</t>
  </si>
  <si>
    <t>1/17 faktör</t>
  </si>
  <si>
    <t>√3</t>
  </si>
  <si>
    <t>(13+21)/2 = 17?</t>
  </si>
  <si>
    <t>2/5 faktör P(O)</t>
  </si>
  <si>
    <t>(3-√3)/2</t>
  </si>
  <si>
    <t>F7 = 13</t>
  </si>
  <si>
    <t>α faktör</t>
  </si>
  <si>
    <t>α/17</t>
  </si>
  <si>
    <t>F8 = 21</t>
  </si>
  <si>
    <t>e^-2.367</t>
  </si>
  <si>
    <t>Nb teorik</t>
  </si>
  <si>
    <t>Cl(1,3) dim</t>
  </si>
  <si>
    <t>Toplam baskılama</t>
  </si>
  <si>
    <t>Nb gözlem (iddia)</t>
  </si>
  <si>
    <t>Q₁₆ + O₁</t>
  </si>
  <si>
    <t>Log₁₀(baskılama)</t>
  </si>
  <si>
    <t>Fark</t>
  </si>
  <si>
    <t>Hedef: 10⁻¹²⁰</t>
  </si>
  <si>
    <t>Fark %</t>
  </si>
  <si>
    <t>FARK büyüklük</t>
  </si>
  <si>
    <t>Uyum %</t>
  </si>
  <si>
    <t>🚀 BÖLÜM 7: RELATİVİSTİK KÜTLE - MAKALE EKSİKLİĞİ</t>
  </si>
  <si>
    <t>⚠️ MAKALE, RELATİVİSTİK KÜTLE KONUSUNDA HİÇBİR FORMÜL İÇERMİYOR!</t>
  </si>
  <si>
    <t>β (v/c)</t>
  </si>
  <si>
    <t>γ Klasik</t>
  </si>
  <si>
    <t>m/m₀</t>
  </si>
  <si>
    <t>E/E₀</t>
  </si>
  <si>
    <t>UST γmax=17?</t>
  </si>
  <si>
    <t>UST m/m₀?</t>
  </si>
  <si>
    <t>Fark?</t>
  </si>
  <si>
    <t>TÜRETİM YOK</t>
  </si>
  <si>
    <t>γ&gt;&gt;17!</t>
  </si>
  <si>
    <t>📊 BÖLÜM 8: FİNAL POPPERCİ DEĞERLENDİRME - ANALİTİK &amp; DÜRÜST</t>
  </si>
  <si>
    <t>Popperci Kriter</t>
  </si>
  <si>
    <t>Makalede</t>
  </si>
  <si>
    <t>Skor (0-10)</t>
  </si>
  <si>
    <t>Sonuç</t>
  </si>
  <si>
    <t>1. Yanlışlanabilirlik</t>
  </si>
  <si>
    <t>Zayıf</t>
  </si>
  <si>
    <t>2. Test Edilebilirlik</t>
  </si>
  <si>
    <t>Orta</t>
  </si>
  <si>
    <t>LHC/LIGO bahsi var, detay yok</t>
  </si>
  <si>
    <t>3. Öngörü Gücü</t>
  </si>
  <si>
    <t>Sadece Nb uyumu (kaynak?)</t>
  </si>
  <si>
    <t>4. İç Tutarlılık</t>
  </si>
  <si>
    <t>Güçlü</t>
  </si>
  <si>
    <t>Matematik tutarlı</t>
  </si>
  <si>
    <t>5. Dış Tutarlılık</t>
  </si>
  <si>
    <t>GR ile uyumlu, QFT eksik</t>
  </si>
  <si>
    <t>6. Basitlik</t>
  </si>
  <si>
    <t>17 postülası basit değil</t>
  </si>
  <si>
    <t>7. Açıklayıcı Güç</t>
  </si>
  <si>
    <t>Λ problemi çözülmedi</t>
  </si>
  <si>
    <t>8. Yenilik</t>
  </si>
  <si>
    <t>Q₁₆⊔O₁ yapısı özgün</t>
  </si>
  <si>
    <t>9. Matematiksel Titizlik</t>
  </si>
  <si>
    <t>Fiber bundle doğru</t>
  </si>
  <si>
    <t>10. Dürüstlük</t>
  </si>
  <si>
    <t>ORTALAMA SKOR:</t>
  </si>
  <si>
    <t>🎯 FİNAL KARAR</t>
  </si>
  <si>
    <t>✅ GÜÇLÜ</t>
  </si>
  <si>
    <t>Matematiksel formalizm tutarlı, Bianchi sağlanır, Fibonacci zarif</t>
  </si>
  <si>
    <t>⚠️ ZAYIF</t>
  </si>
  <si>
    <t>17 postüla, a₂=1/17 kaynak yok, baseline gözlemden</t>
  </si>
  <si>
    <t>❌ BAŞARISIZ</t>
  </si>
  <si>
    <t>Λ problemi çözülmedi (10^115 fark!), spesifik tahmin yok</t>
  </si>
  <si>
    <t>❓ EKSİK</t>
  </si>
  <si>
    <t>QFT, Wheeler-DeWitt, Dirac, Graviton, Rel.kütle YOK</t>
  </si>
  <si>
    <t>📌 SONUÇ</t>
  </si>
  <si>
    <t>İLGİNÇ AMA BİLİMSEL TEORİ DEĞİL - HİPOTEZ AŞAMASINDA</t>
  </si>
  <si>
    <t>🤖 BÖLÜM 9: TEORİYİ TAMAMLAMAK İÇİN YZ'YE SORULAR</t>
  </si>
  <si>
    <t>Kategori</t>
  </si>
  <si>
    <t>Soru</t>
  </si>
  <si>
    <t>Beklenen Çıktı</t>
  </si>
  <si>
    <t>Öncelik</t>
  </si>
  <si>
    <t>TEMEL</t>
  </si>
  <si>
    <t>17 sayısı matematiksel olarak zorunlu mu? İspat var mı?</t>
  </si>
  <si>
    <t>Teori temeli</t>
  </si>
  <si>
    <t>Matematiksel kanıt</t>
  </si>
  <si>
    <t>a₂=1/17 değeri QFT literatüründe var mı? Vassilevich?</t>
  </si>
  <si>
    <t>Temel sabit</t>
  </si>
  <si>
    <t>Literatür taraması</t>
  </si>
  <si>
    <t>(3-√3)/2 baseline nereden geliyor? Türetim?</t>
  </si>
  <si>
    <t>Döngüsel mantık</t>
  </si>
  <si>
    <t>İlk prensip türetim</t>
  </si>
  <si>
    <t>Λ PROBLEM</t>
  </si>
  <si>
    <t>10⁻⁵ → 10⁻¹²⁰ arasındaki 10¹¹⁵ fark nasıl kapanır?</t>
  </si>
  <si>
    <t>Ek mekanizma</t>
  </si>
  <si>
    <t>Nb KAYNAK</t>
  </si>
  <si>
    <t>Nb=0.63354460 gözlem değeri hangi deneyde ölçüldü?</t>
  </si>
  <si>
    <t>Empirik iddia</t>
  </si>
  <si>
    <t>Referans/kaynak</t>
  </si>
  <si>
    <t>REL.KÜTLE</t>
  </si>
  <si>
    <t>m=m₀γ formülü UST'de nasıl modifiye edilir?</t>
  </si>
  <si>
    <t>Yüksek enerji</t>
  </si>
  <si>
    <t>Türetilmiş formül</t>
  </si>
  <si>
    <t>γ→∞ limitinde γmax=17 sınırı var mı?</t>
  </si>
  <si>
    <t>v→c davranış</t>
  </si>
  <si>
    <t>Sınır analizi</t>
  </si>
  <si>
    <t>QG</t>
  </si>
  <si>
    <t>Wheeler-DeWitt: Ĥ|Ψ⟩=0 UST versiyonu?</t>
  </si>
  <si>
    <t>Kuantum kozmoloji</t>
  </si>
  <si>
    <t>WDW_UST formülü</t>
  </si>
  <si>
    <t>Path integral Z=∫Dg e^{iS/ℏ} + Ns,q?</t>
  </si>
  <si>
    <t>Tam QG</t>
  </si>
  <si>
    <t>Z_UST tanımı</t>
  </si>
  <si>
    <t>FERMİYON</t>
  </si>
  <si>
    <t>Dirac denklemi eğri uzayda UST modifikasyonu?</t>
  </si>
  <si>
    <t>Madde fiziği</t>
  </si>
  <si>
    <t>Spinör denklemi</t>
  </si>
  <si>
    <t>DENEYSEL</t>
  </si>
  <si>
    <t>LHC'de α/17 düzeltmesi nasıl test edilir?</t>
  </si>
  <si>
    <t>Yanlışlanabilirlik</t>
  </si>
  <si>
    <t>Spesifik tahmin</t>
  </si>
  <si>
    <t>LIGO'da Omnium imzası aranabilir mi?</t>
  </si>
  <si>
    <t>GW fiziği</t>
  </si>
  <si>
    <t>Sinyal öngörüsü</t>
  </si>
  <si>
    <t>Cμν</t>
  </si>
  <si>
    <t>Cμν tensörü tam formülü nedir?</t>
  </si>
  <si>
    <t>Einstein düzeltme</t>
  </si>
  <si>
    <t>Tensör tanımı</t>
  </si>
  <si>
    <t>TUTARLIK</t>
  </si>
  <si>
    <t>QFT companion paper ne zaman yayınlanacak?</t>
  </si>
  <si>
    <t>Teori tamamlama</t>
  </si>
  <si>
    <t>SM türetimi</t>
  </si>
  <si>
    <t>ONTOLOJI</t>
  </si>
  <si>
    <t>Omnium karanlık madde mi?</t>
  </si>
  <si>
    <t>Fiziksel yorum</t>
  </si>
  <si>
    <t>ΩDM bağlantısı</t>
  </si>
  <si>
    <t>📈 BÖLÜM 10: ÖZET SKOR KARTI - TÜM ANALİZLER</t>
  </si>
  <si>
    <t>Mevcut</t>
  </si>
  <si>
    <t>Gerekli</t>
  </si>
  <si>
    <t>Matematiksel Tutarlılık</t>
  </si>
  <si>
    <t>✅ İYİ</t>
  </si>
  <si>
    <t>Empirik Destek</t>
  </si>
  <si>
    <t>❌ ZAYIF</t>
  </si>
  <si>
    <t>Λ Problemi Çözümü</t>
  </si>
  <si>
    <t>QFT Entegrasyonu</t>
  </si>
  <si>
    <t>❌ EKSİK</t>
  </si>
  <si>
    <t>Relativistik Kütle</t>
  </si>
  <si>
    <t>Deneysel Öngörü</t>
  </si>
  <si>
    <t>Genel Skor</t>
  </si>
  <si>
    <t>⚠️ GELİŞMEKTE</t>
  </si>
  <si>
    <t>📌 FİNAL SONUÇ: ANALİTİK VE DÜRÜST DEĞERLENDİRME</t>
  </si>
  <si>
    <t>1. UST v5 matematiksel olarak TUTARLI bir çerçeve sunuyor (fiber bundle, Bianchi).</t>
  </si>
  <si>
    <t>2. ANCAK 17 sayısının fiziksel zorunluluğu KANITLANAMAMIŞtır - POSTÜLA.</t>
  </si>
  <si>
    <t>3. a₂=1/17 değeri standart QFT literatüründe MEVCUT DEĞİL - DOĞRULANAMAZ.</t>
  </si>
  <si>
    <t>4. Kozmolojik sabit problemi ÇÖZÜLMEMİŞ: 10⁻⁵ vs 10⁻¹²⁰ = 10¹¹⁵ fark!</t>
  </si>
  <si>
    <t>5. Nb=0.6335446 'gözlem' değerinin KAYNAĞI BELİRTİLMEMİŞ.</t>
  </si>
  <si>
    <t>6. RELATİVİSTİK KÜTLE konusunda HİÇBİR FORMÜL YOK.</t>
  </si>
  <si>
    <t>7. Wheeler-DeWitt, Path Integral, Dirac denklemi HİÇ YOK.</t>
  </si>
  <si>
    <t>8. SPESİFİK YANLIŞ­LANABİLİR TAHMİN YOK - Popperci bilim kriteri zayıf.</t>
  </si>
  <si>
    <t>🎯 KARAR: İLGİNÇ MATEMATİKSEL HİPOTEZ, ancak BİLİMSEL TEORİ olabilmesi için:</t>
  </si>
  <si>
    <t xml:space="preserve">   - a₂=1/17 için bağımsız QFT türetimi gerekli</t>
  </si>
  <si>
    <t xml:space="preserve">   - Λ problemi için ek mekanizma gerekli (RG akışı?)</t>
  </si>
  <si>
    <t xml:space="preserve">   - Spesifik, ölçülebilir tahminler gerekli</t>
  </si>
  <si>
    <t xml:space="preserve">   - QFT companion paper yayınlanmalı</t>
  </si>
  <si>
    <t>🔥 KRİTİK HESAPLAMA SONUÇLARI</t>
  </si>
  <si>
    <t>Hesaplama</t>
  </si>
  <si>
    <t>Yorum</t>
  </si>
  <si>
    <t>UST hesaplanan değer</t>
  </si>
  <si>
    <t>Makaledeki iddia</t>
  </si>
  <si>
    <t>Çok küçük</t>
  </si>
  <si>
    <t>Makalenin iddiası destekleniyor</t>
  </si>
  <si>
    <t>Λ baskılama faktörü</t>
  </si>
  <si>
    <t>~1.6×10⁻⁵</t>
  </si>
  <si>
    <t>~-4.8</t>
  </si>
  <si>
    <t>Hedef (gözlem)</t>
  </si>
  <si>
    <t>FARK (büyüklük sırası)</t>
  </si>
  <si>
    <t>~115 büyüklük sırası!</t>
  </si>
  <si>
    <t>γ (β=0.99)</t>
  </si>
  <si>
    <t>~7.09</t>
  </si>
  <si>
    <t>γ (β=0.9999)</t>
  </si>
  <si>
    <t>~70.7 &gt;&gt; 17!</t>
  </si>
  <si>
    <t>Popperci Skor</t>
  </si>
  <si>
    <t>5.5/10 - ORTA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</si>
</sst>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4"/>
      <color rgb="FFFFFFFF"/>
      <name val="Aptos Narrow"/>
      <family val="2"/>
      <charset val="162"/>
      <scheme val="minor"/>
    </font>
    <font>
      <sz val="11"/>
      <color rgb="FFFFFFFF"/>
      <name val="Aptos Narrow"/>
      <family val="2"/>
      <charset val="162"/>
      <scheme val="minor"/>
    </font>
    <font>
      <sz val="11"/>
      <color rgb="FFD32F2F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b/>
      <sz val="12"/>
      <color rgb="FFFFFFFF"/>
      <name val="Aptos Narrow"/>
      <family val="2"/>
      <charset val="16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1A237E"/>
        <bgColor indexed="64"/>
      </patternFill>
    </fill>
    <fill>
      <patternFill patternType="solid">
        <fgColor rgb="FF3949AB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C5CAE9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EF9A9A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A5D6A7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E1F5FE"/>
        <bgColor indexed="64"/>
      </patternFill>
    </fill>
    <fill>
      <patternFill patternType="solid">
        <fgColor rgb="FFB3E5FC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E1BEE7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rgb="FFB2DFDB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8BBD9"/>
        <bgColor indexed="64"/>
      </patternFill>
    </fill>
    <fill>
      <patternFill patternType="solid">
        <fgColor rgb="FFFFEB3B"/>
        <bgColor indexed="64"/>
      </patternFill>
    </fill>
    <fill>
      <patternFill patternType="solid">
        <fgColor rgb="FFFF5722"/>
        <bgColor indexed="64"/>
      </patternFill>
    </fill>
    <fill>
      <patternFill patternType="solid">
        <fgColor rgb="FFFF8A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Font="1" applyFill="1"/>
    <xf numFmtId="0" fontId="0" fillId="0" borderId="0" xfId="0"/>
    <xf numFmtId="0" fontId="3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0" borderId="0" xfId="0" applyFont="1"/>
    <xf numFmtId="10" fontId="0" fillId="0" borderId="0" xfId="0" applyNumberFormat="1"/>
    <xf numFmtId="9" fontId="0" fillId="0" borderId="0" xfId="0" applyNumberFormat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4" fillId="0" borderId="0" xfId="0" applyFont="1"/>
    <xf numFmtId="0" fontId="1" fillId="13" borderId="0" xfId="0" applyFont="1" applyFill="1"/>
    <xf numFmtId="0" fontId="5" fillId="14" borderId="0" xfId="0" applyFont="1" applyFill="1"/>
    <xf numFmtId="0" fontId="1" fillId="15" borderId="0" xfId="0" applyFont="1" applyFill="1"/>
    <xf numFmtId="0" fontId="5" fillId="0" borderId="0" xfId="0" applyFont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5" fillId="20" borderId="0" xfId="0" applyFont="1" applyFill="1"/>
    <xf numFmtId="0" fontId="6" fillId="21" borderId="0" xfId="0" applyFont="1" applyFill="1"/>
    <xf numFmtId="0" fontId="1" fillId="22" borderId="0" xfId="0" applyFont="1" applyFill="1"/>
    <xf numFmtId="0" fontId="0" fillId="8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3D653-5943-44E7-85BA-DF8949AB00DB}">
  <sheetPr codeName="Sayfa6"/>
  <dimension ref="A1:J165"/>
  <sheetViews>
    <sheetView tabSelected="1" topLeftCell="A96" workbookViewId="0">
      <selection activeCell="C107" sqref="C107"/>
    </sheetView>
  </sheetViews>
  <sheetFormatPr defaultRowHeight="15" x14ac:dyDescent="0.25"/>
  <cols>
    <col min="1" max="1" width="38.140625" customWidth="1"/>
    <col min="2" max="2" width="28.5703125" customWidth="1"/>
    <col min="3" max="3" width="51.7109375" bestFit="1" customWidth="1"/>
    <col min="4" max="5" width="22.85546875" customWidth="1"/>
    <col min="6" max="8" width="19" customWidth="1"/>
  </cols>
  <sheetData>
    <row r="1" spans="1:10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 t="s">
        <v>1</v>
      </c>
    </row>
    <row r="4" spans="1:10" x14ac:dyDescent="0.25">
      <c r="A4" s="4" t="s">
        <v>2</v>
      </c>
    </row>
    <row r="5" spans="1:10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spans="1:10" x14ac:dyDescent="0.25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>
        <v>6</v>
      </c>
    </row>
    <row r="7" spans="1:10" x14ac:dyDescent="0.25">
      <c r="A7" t="s">
        <v>18</v>
      </c>
      <c r="B7" t="s">
        <v>19</v>
      </c>
      <c r="C7" t="s">
        <v>20</v>
      </c>
      <c r="D7" t="s">
        <v>14</v>
      </c>
      <c r="E7" t="s">
        <v>15</v>
      </c>
      <c r="F7" t="s">
        <v>21</v>
      </c>
      <c r="G7" t="s">
        <v>22</v>
      </c>
      <c r="H7">
        <v>8</v>
      </c>
    </row>
    <row r="8" spans="1:10" x14ac:dyDescent="0.25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>
        <v>7</v>
      </c>
    </row>
    <row r="9" spans="1:10" x14ac:dyDescent="0.25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>
        <v>4</v>
      </c>
    </row>
    <row r="10" spans="1:10" x14ac:dyDescent="0.25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>
        <v>6</v>
      </c>
    </row>
    <row r="11" spans="1:10" x14ac:dyDescent="0.25">
      <c r="A11" t="s">
        <v>44</v>
      </c>
      <c r="B11" t="s">
        <v>45</v>
      </c>
      <c r="C11" t="s">
        <v>46</v>
      </c>
      <c r="D11" t="s">
        <v>14</v>
      </c>
      <c r="E11" t="s">
        <v>15</v>
      </c>
      <c r="F11" t="s">
        <v>47</v>
      </c>
      <c r="G11" t="s">
        <v>48</v>
      </c>
      <c r="H11">
        <v>5</v>
      </c>
    </row>
    <row r="12" spans="1:10" x14ac:dyDescent="0.25">
      <c r="A12" t="s">
        <v>49</v>
      </c>
      <c r="B12" t="s">
        <v>50</v>
      </c>
      <c r="C12" t="s">
        <v>51</v>
      </c>
      <c r="D12" t="s">
        <v>52</v>
      </c>
      <c r="E12" t="s">
        <v>15</v>
      </c>
      <c r="F12" t="s">
        <v>47</v>
      </c>
      <c r="G12" t="s">
        <v>53</v>
      </c>
      <c r="H12">
        <v>6</v>
      </c>
    </row>
    <row r="13" spans="1:10" x14ac:dyDescent="0.25">
      <c r="G13" s="6" t="s">
        <v>54</v>
      </c>
      <c r="H13" s="6">
        <f>AVERAGE(H6:H12)</f>
        <v>6</v>
      </c>
    </row>
    <row r="15" spans="1:10" x14ac:dyDescent="0.25">
      <c r="A15" s="4" t="s">
        <v>55</v>
      </c>
    </row>
    <row r="16" spans="1:10" x14ac:dyDescent="0.25">
      <c r="A16" s="5" t="s">
        <v>56</v>
      </c>
      <c r="B16" s="5" t="s">
        <v>57</v>
      </c>
      <c r="C16" s="5" t="s">
        <v>58</v>
      </c>
      <c r="D16" s="5" t="s">
        <v>59</v>
      </c>
      <c r="E16" s="5" t="s">
        <v>60</v>
      </c>
      <c r="F16" s="5" t="s">
        <v>61</v>
      </c>
      <c r="G16" s="5" t="s">
        <v>62</v>
      </c>
    </row>
    <row r="17" spans="1:7" x14ac:dyDescent="0.25">
      <c r="A17">
        <v>1</v>
      </c>
      <c r="B17" t="s">
        <v>63</v>
      </c>
      <c r="C17">
        <v>17</v>
      </c>
      <c r="D17" t="s">
        <v>64</v>
      </c>
      <c r="E17" t="s">
        <v>65</v>
      </c>
      <c r="F17" t="s">
        <v>66</v>
      </c>
      <c r="G17" t="s">
        <v>15</v>
      </c>
    </row>
    <row r="18" spans="1:7" x14ac:dyDescent="0.25">
      <c r="A18">
        <v>2</v>
      </c>
      <c r="B18" t="s">
        <v>67</v>
      </c>
      <c r="C18">
        <v>17</v>
      </c>
      <c r="D18" t="s">
        <v>64</v>
      </c>
      <c r="E18" t="s">
        <v>65</v>
      </c>
      <c r="F18" t="s">
        <v>68</v>
      </c>
      <c r="G18" t="s">
        <v>69</v>
      </c>
    </row>
    <row r="19" spans="1:7" x14ac:dyDescent="0.25">
      <c r="A19">
        <v>3</v>
      </c>
      <c r="B19" t="s">
        <v>70</v>
      </c>
      <c r="C19" t="s">
        <v>71</v>
      </c>
      <c r="D19" t="s">
        <v>64</v>
      </c>
      <c r="E19" t="s">
        <v>65</v>
      </c>
      <c r="F19" t="s">
        <v>72</v>
      </c>
      <c r="G19" t="s">
        <v>69</v>
      </c>
    </row>
    <row r="20" spans="1:7" x14ac:dyDescent="0.25">
      <c r="A20">
        <v>4</v>
      </c>
      <c r="B20" t="s">
        <v>73</v>
      </c>
      <c r="C20" t="s">
        <v>74</v>
      </c>
      <c r="D20" t="s">
        <v>75</v>
      </c>
      <c r="E20" t="s">
        <v>76</v>
      </c>
      <c r="F20" t="s">
        <v>77</v>
      </c>
      <c r="G20" t="s">
        <v>78</v>
      </c>
    </row>
    <row r="21" spans="1:7" x14ac:dyDescent="0.25">
      <c r="A21">
        <v>5</v>
      </c>
      <c r="B21" t="s">
        <v>79</v>
      </c>
      <c r="C21" t="s">
        <v>80</v>
      </c>
      <c r="D21" t="s">
        <v>64</v>
      </c>
      <c r="E21" t="s">
        <v>21</v>
      </c>
      <c r="F21" t="s">
        <v>81</v>
      </c>
      <c r="G21" t="s">
        <v>15</v>
      </c>
    </row>
    <row r="22" spans="1:7" x14ac:dyDescent="0.25">
      <c r="A22">
        <v>6</v>
      </c>
      <c r="B22" t="s">
        <v>82</v>
      </c>
      <c r="C22" t="s">
        <v>83</v>
      </c>
      <c r="D22" t="s">
        <v>64</v>
      </c>
      <c r="E22" t="s">
        <v>21</v>
      </c>
      <c r="F22" t="s">
        <v>84</v>
      </c>
      <c r="G22" t="s">
        <v>15</v>
      </c>
    </row>
    <row r="23" spans="1:7" x14ac:dyDescent="0.25">
      <c r="A23">
        <v>7</v>
      </c>
      <c r="B23" t="s">
        <v>85</v>
      </c>
      <c r="C23">
        <v>5.8799999999999998E-2</v>
      </c>
      <c r="D23" t="s">
        <v>86</v>
      </c>
      <c r="E23" t="s">
        <v>87</v>
      </c>
      <c r="F23" t="s">
        <v>88</v>
      </c>
      <c r="G23" t="s">
        <v>78</v>
      </c>
    </row>
    <row r="24" spans="1:7" x14ac:dyDescent="0.25">
      <c r="A24">
        <v>8</v>
      </c>
      <c r="B24" t="s">
        <v>89</v>
      </c>
      <c r="C24">
        <v>0.63354529999999998</v>
      </c>
      <c r="D24" t="s">
        <v>90</v>
      </c>
      <c r="E24" t="s">
        <v>91</v>
      </c>
      <c r="F24" t="s">
        <v>92</v>
      </c>
      <c r="G24" t="s">
        <v>69</v>
      </c>
    </row>
    <row r="25" spans="1:7" x14ac:dyDescent="0.25">
      <c r="A25">
        <v>9</v>
      </c>
      <c r="B25" t="s">
        <v>93</v>
      </c>
      <c r="C25" t="s">
        <v>94</v>
      </c>
      <c r="D25" t="s">
        <v>95</v>
      </c>
      <c r="E25" t="s">
        <v>96</v>
      </c>
      <c r="F25" t="s">
        <v>97</v>
      </c>
      <c r="G25" t="s">
        <v>69</v>
      </c>
    </row>
    <row r="26" spans="1:7" x14ac:dyDescent="0.25">
      <c r="A26">
        <v>10</v>
      </c>
      <c r="B26" t="s">
        <v>98</v>
      </c>
      <c r="C26" t="s">
        <v>99</v>
      </c>
      <c r="D26" t="s">
        <v>100</v>
      </c>
      <c r="E26" t="s">
        <v>101</v>
      </c>
      <c r="F26" t="s">
        <v>102</v>
      </c>
      <c r="G26" t="s">
        <v>78</v>
      </c>
    </row>
    <row r="28" spans="1:7" x14ac:dyDescent="0.25">
      <c r="A28" s="4" t="s">
        <v>103</v>
      </c>
    </row>
    <row r="29" spans="1:7" x14ac:dyDescent="0.25">
      <c r="A29" s="5" t="s">
        <v>56</v>
      </c>
      <c r="B29" s="5" t="s">
        <v>57</v>
      </c>
      <c r="C29" s="5" t="s">
        <v>104</v>
      </c>
      <c r="D29" s="5" t="s">
        <v>105</v>
      </c>
      <c r="E29" s="5" t="s">
        <v>106</v>
      </c>
      <c r="F29" s="5" t="s">
        <v>107</v>
      </c>
      <c r="G29" s="5" t="s">
        <v>62</v>
      </c>
    </row>
    <row r="30" spans="1:7" x14ac:dyDescent="0.25">
      <c r="A30">
        <v>1</v>
      </c>
      <c r="B30" t="s">
        <v>108</v>
      </c>
      <c r="C30">
        <v>0.63354534019999997</v>
      </c>
      <c r="D30" t="s">
        <v>109</v>
      </c>
      <c r="E30" s="7">
        <v>0.99829999999999997</v>
      </c>
      <c r="F30" t="s">
        <v>42</v>
      </c>
      <c r="G30" t="s">
        <v>69</v>
      </c>
    </row>
    <row r="31" spans="1:7" x14ac:dyDescent="0.25">
      <c r="A31">
        <v>2</v>
      </c>
      <c r="B31" t="s">
        <v>110</v>
      </c>
      <c r="C31" t="s">
        <v>111</v>
      </c>
      <c r="D31" t="s">
        <v>112</v>
      </c>
      <c r="E31" t="s">
        <v>47</v>
      </c>
      <c r="F31" t="s">
        <v>113</v>
      </c>
      <c r="G31" t="s">
        <v>69</v>
      </c>
    </row>
    <row r="32" spans="1:7" x14ac:dyDescent="0.25">
      <c r="A32">
        <v>3</v>
      </c>
      <c r="B32" t="s">
        <v>114</v>
      </c>
      <c r="C32" t="s">
        <v>115</v>
      </c>
      <c r="D32" t="s">
        <v>116</v>
      </c>
      <c r="E32" t="s">
        <v>117</v>
      </c>
      <c r="F32" t="s">
        <v>118</v>
      </c>
      <c r="G32" t="s">
        <v>78</v>
      </c>
    </row>
    <row r="33" spans="1:7" x14ac:dyDescent="0.25">
      <c r="A33">
        <v>4</v>
      </c>
      <c r="B33" t="s">
        <v>119</v>
      </c>
      <c r="C33" t="s">
        <v>120</v>
      </c>
      <c r="D33" t="s">
        <v>121</v>
      </c>
      <c r="E33" s="8">
        <v>1</v>
      </c>
      <c r="F33" t="s">
        <v>122</v>
      </c>
      <c r="G33" t="s">
        <v>69</v>
      </c>
    </row>
    <row r="34" spans="1:7" x14ac:dyDescent="0.25">
      <c r="A34">
        <v>5</v>
      </c>
      <c r="B34" t="s">
        <v>123</v>
      </c>
      <c r="C34" t="s">
        <v>124</v>
      </c>
      <c r="D34" t="s">
        <v>112</v>
      </c>
      <c r="E34" s="8">
        <v>1</v>
      </c>
      <c r="F34" t="s">
        <v>125</v>
      </c>
      <c r="G34" t="s">
        <v>15</v>
      </c>
    </row>
    <row r="35" spans="1:7" x14ac:dyDescent="0.25">
      <c r="A35">
        <v>6</v>
      </c>
      <c r="B35" t="s">
        <v>126</v>
      </c>
      <c r="C35" t="s">
        <v>127</v>
      </c>
      <c r="D35" t="s">
        <v>128</v>
      </c>
      <c r="E35" t="s">
        <v>129</v>
      </c>
      <c r="F35" t="s">
        <v>130</v>
      </c>
      <c r="G35" t="s">
        <v>131</v>
      </c>
    </row>
    <row r="36" spans="1:7" x14ac:dyDescent="0.25">
      <c r="A36">
        <v>7</v>
      </c>
      <c r="B36" t="s">
        <v>132</v>
      </c>
      <c r="C36" t="s">
        <v>133</v>
      </c>
      <c r="D36" t="s">
        <v>134</v>
      </c>
      <c r="E36" t="s">
        <v>129</v>
      </c>
      <c r="F36" t="s">
        <v>135</v>
      </c>
      <c r="G36" t="s">
        <v>131</v>
      </c>
    </row>
    <row r="38" spans="1:7" x14ac:dyDescent="0.25">
      <c r="A38" s="9" t="s">
        <v>136</v>
      </c>
    </row>
    <row r="39" spans="1:7" x14ac:dyDescent="0.25">
      <c r="A39" s="10" t="s">
        <v>56</v>
      </c>
      <c r="B39" s="10" t="s">
        <v>9</v>
      </c>
      <c r="C39" s="10" t="s">
        <v>137</v>
      </c>
      <c r="D39" s="10" t="s">
        <v>138</v>
      </c>
      <c r="E39" s="10" t="s">
        <v>139</v>
      </c>
      <c r="F39" s="10" t="s">
        <v>140</v>
      </c>
    </row>
    <row r="40" spans="1:7" x14ac:dyDescent="0.25">
      <c r="A40">
        <v>1</v>
      </c>
      <c r="B40" t="s">
        <v>141</v>
      </c>
      <c r="C40" t="s">
        <v>142</v>
      </c>
      <c r="D40" t="s">
        <v>143</v>
      </c>
      <c r="E40" t="s">
        <v>144</v>
      </c>
      <c r="F40" t="s">
        <v>145</v>
      </c>
    </row>
    <row r="41" spans="1:7" x14ac:dyDescent="0.25">
      <c r="A41">
        <v>2</v>
      </c>
      <c r="B41" t="s">
        <v>146</v>
      </c>
      <c r="C41" t="s">
        <v>147</v>
      </c>
      <c r="D41" t="s">
        <v>148</v>
      </c>
      <c r="E41" t="s">
        <v>149</v>
      </c>
      <c r="F41" t="s">
        <v>145</v>
      </c>
    </row>
    <row r="42" spans="1:7" x14ac:dyDescent="0.25">
      <c r="A42">
        <v>3</v>
      </c>
      <c r="B42" t="s">
        <v>150</v>
      </c>
      <c r="C42" t="s">
        <v>151</v>
      </c>
      <c r="D42" t="s">
        <v>152</v>
      </c>
      <c r="E42" t="s">
        <v>153</v>
      </c>
      <c r="F42" t="s">
        <v>145</v>
      </c>
    </row>
    <row r="43" spans="1:7" x14ac:dyDescent="0.25">
      <c r="A43">
        <v>4</v>
      </c>
      <c r="B43" t="s">
        <v>154</v>
      </c>
      <c r="C43" t="s">
        <v>155</v>
      </c>
      <c r="D43" t="s">
        <v>156</v>
      </c>
      <c r="E43" t="s">
        <v>157</v>
      </c>
      <c r="F43" t="s">
        <v>145</v>
      </c>
    </row>
    <row r="44" spans="1:7" x14ac:dyDescent="0.25">
      <c r="A44">
        <v>5</v>
      </c>
      <c r="B44" t="s">
        <v>158</v>
      </c>
      <c r="C44" t="s">
        <v>159</v>
      </c>
      <c r="D44" t="s">
        <v>160</v>
      </c>
      <c r="E44" t="s">
        <v>161</v>
      </c>
      <c r="F44" t="s">
        <v>162</v>
      </c>
    </row>
    <row r="45" spans="1:7" x14ac:dyDescent="0.25">
      <c r="A45">
        <v>6</v>
      </c>
      <c r="B45" t="s">
        <v>163</v>
      </c>
      <c r="C45" t="s">
        <v>164</v>
      </c>
      <c r="D45" t="s">
        <v>165</v>
      </c>
      <c r="E45" t="s">
        <v>166</v>
      </c>
      <c r="F45" t="s">
        <v>162</v>
      </c>
    </row>
    <row r="46" spans="1:7" x14ac:dyDescent="0.25">
      <c r="A46">
        <v>7</v>
      </c>
      <c r="B46" t="s">
        <v>167</v>
      </c>
      <c r="C46" t="s">
        <v>168</v>
      </c>
      <c r="D46" t="s">
        <v>169</v>
      </c>
      <c r="E46" t="s">
        <v>170</v>
      </c>
      <c r="F46" t="s">
        <v>162</v>
      </c>
    </row>
    <row r="47" spans="1:7" x14ac:dyDescent="0.25">
      <c r="A47">
        <v>8</v>
      </c>
      <c r="B47" t="s">
        <v>171</v>
      </c>
      <c r="C47" t="s">
        <v>172</v>
      </c>
      <c r="D47" t="s">
        <v>173</v>
      </c>
      <c r="E47" t="s">
        <v>144</v>
      </c>
      <c r="F47" t="s">
        <v>145</v>
      </c>
    </row>
    <row r="48" spans="1:7" x14ac:dyDescent="0.25">
      <c r="A48">
        <v>9</v>
      </c>
      <c r="B48" t="s">
        <v>174</v>
      </c>
      <c r="C48" t="s">
        <v>175</v>
      </c>
      <c r="D48" t="s">
        <v>176</v>
      </c>
      <c r="E48" t="s">
        <v>177</v>
      </c>
      <c r="F48" t="s">
        <v>162</v>
      </c>
    </row>
    <row r="49" spans="1:8" x14ac:dyDescent="0.25">
      <c r="A49">
        <v>10</v>
      </c>
      <c r="B49" t="s">
        <v>178</v>
      </c>
      <c r="C49" t="s">
        <v>175</v>
      </c>
      <c r="D49" t="s">
        <v>179</v>
      </c>
      <c r="E49" t="s">
        <v>177</v>
      </c>
      <c r="F49" t="s">
        <v>162</v>
      </c>
    </row>
    <row r="51" spans="1:8" x14ac:dyDescent="0.25">
      <c r="A51" s="11" t="s">
        <v>180</v>
      </c>
    </row>
    <row r="52" spans="1:8" x14ac:dyDescent="0.25">
      <c r="A52" s="12" t="s">
        <v>56</v>
      </c>
      <c r="B52" s="12" t="s">
        <v>181</v>
      </c>
      <c r="C52" s="12" t="s">
        <v>182</v>
      </c>
      <c r="D52" s="12" t="s">
        <v>183</v>
      </c>
      <c r="E52" s="12" t="s">
        <v>184</v>
      </c>
    </row>
    <row r="53" spans="1:8" x14ac:dyDescent="0.25">
      <c r="A53">
        <v>1</v>
      </c>
      <c r="B53" t="s">
        <v>185</v>
      </c>
      <c r="C53" t="s">
        <v>186</v>
      </c>
      <c r="D53" t="s">
        <v>187</v>
      </c>
      <c r="E53" t="s">
        <v>162</v>
      </c>
    </row>
    <row r="54" spans="1:8" x14ac:dyDescent="0.25">
      <c r="A54">
        <v>2</v>
      </c>
      <c r="B54" t="s">
        <v>188</v>
      </c>
      <c r="C54" t="s">
        <v>189</v>
      </c>
      <c r="D54" t="s">
        <v>190</v>
      </c>
      <c r="E54" t="s">
        <v>162</v>
      </c>
    </row>
    <row r="55" spans="1:8" x14ac:dyDescent="0.25">
      <c r="A55">
        <v>3</v>
      </c>
      <c r="B55" t="s">
        <v>191</v>
      </c>
      <c r="C55" t="s">
        <v>192</v>
      </c>
      <c r="D55" t="s">
        <v>193</v>
      </c>
      <c r="E55" t="s">
        <v>194</v>
      </c>
    </row>
    <row r="56" spans="1:8" x14ac:dyDescent="0.25">
      <c r="A56">
        <v>4</v>
      </c>
      <c r="B56" t="s">
        <v>195</v>
      </c>
      <c r="C56" t="s">
        <v>196</v>
      </c>
      <c r="D56" t="s">
        <v>197</v>
      </c>
      <c r="E56" t="s">
        <v>194</v>
      </c>
    </row>
    <row r="57" spans="1:8" x14ac:dyDescent="0.25">
      <c r="A57">
        <v>5</v>
      </c>
      <c r="B57" t="s">
        <v>198</v>
      </c>
      <c r="C57" t="s">
        <v>199</v>
      </c>
      <c r="D57" t="s">
        <v>200</v>
      </c>
      <c r="E57" t="s">
        <v>162</v>
      </c>
    </row>
    <row r="58" spans="1:8" x14ac:dyDescent="0.25">
      <c r="A58">
        <v>6</v>
      </c>
      <c r="B58" t="s">
        <v>201</v>
      </c>
      <c r="C58" t="s">
        <v>202</v>
      </c>
      <c r="D58" t="s">
        <v>203</v>
      </c>
      <c r="E58" t="s">
        <v>204</v>
      </c>
    </row>
    <row r="59" spans="1:8" x14ac:dyDescent="0.25">
      <c r="A59">
        <v>7</v>
      </c>
      <c r="B59" t="s">
        <v>205</v>
      </c>
      <c r="C59" t="s">
        <v>206</v>
      </c>
      <c r="D59" t="s">
        <v>207</v>
      </c>
      <c r="E59" t="s">
        <v>208</v>
      </c>
    </row>
    <row r="61" spans="1:8" x14ac:dyDescent="0.25">
      <c r="A61" s="13" t="s">
        <v>209</v>
      </c>
    </row>
    <row r="62" spans="1:8" x14ac:dyDescent="0.25">
      <c r="A62" s="14" t="s">
        <v>210</v>
      </c>
      <c r="B62" s="14" t="s">
        <v>211</v>
      </c>
      <c r="D62" s="14" t="s">
        <v>212</v>
      </c>
      <c r="E62" s="14" t="s">
        <v>60</v>
      </c>
      <c r="G62" s="14" t="s">
        <v>213</v>
      </c>
      <c r="H62" s="14" t="s">
        <v>211</v>
      </c>
    </row>
    <row r="63" spans="1:8" x14ac:dyDescent="0.25">
      <c r="A63" t="s">
        <v>214</v>
      </c>
      <c r="B63">
        <f>1/137.036</f>
        <v>7.2973525205055605E-3</v>
      </c>
      <c r="D63" t="s">
        <v>215</v>
      </c>
      <c r="E63" t="str">
        <f>IF(2^4+1=17,"✅ EVET","❌ HAYIR")</f>
        <v>✅ EVET</v>
      </c>
      <c r="G63" t="s">
        <v>216</v>
      </c>
      <c r="H63">
        <f>1/17</f>
        <v>5.8823529411764705E-2</v>
      </c>
    </row>
    <row r="64" spans="1:8" x14ac:dyDescent="0.25">
      <c r="A64" t="s">
        <v>217</v>
      </c>
      <c r="B64">
        <f>SQRT(3)</f>
        <v>1.7320508075688772</v>
      </c>
      <c r="D64" t="s">
        <v>218</v>
      </c>
      <c r="E64" t="str">
        <f>IF((13+21)/2=17,"✅ EVET","❌ HAYIR")</f>
        <v>✅ EVET</v>
      </c>
      <c r="G64" t="s">
        <v>219</v>
      </c>
      <c r="H64">
        <f>2/5</f>
        <v>0.4</v>
      </c>
    </row>
    <row r="65" spans="1:8" x14ac:dyDescent="0.25">
      <c r="A65" t="s">
        <v>220</v>
      </c>
      <c r="B65">
        <f>(3-SQRT(3))/2</f>
        <v>0.6339745962155614</v>
      </c>
      <c r="D65" t="s">
        <v>221</v>
      </c>
      <c r="E65">
        <v>13</v>
      </c>
      <c r="G65" t="s">
        <v>222</v>
      </c>
      <c r="H65">
        <f>1/137.036</f>
        <v>7.2973525205055605E-3</v>
      </c>
    </row>
    <row r="66" spans="1:8" x14ac:dyDescent="0.25">
      <c r="A66" t="s">
        <v>223</v>
      </c>
      <c r="B66">
        <f>(1/137.036)/17</f>
        <v>4.2925603061797412E-4</v>
      </c>
      <c r="D66" t="s">
        <v>224</v>
      </c>
      <c r="E66">
        <v>21</v>
      </c>
      <c r="G66" t="s">
        <v>225</v>
      </c>
      <c r="H66">
        <f>EXP(-2.367)</f>
        <v>9.3761589541139861E-2</v>
      </c>
    </row>
    <row r="67" spans="1:8" x14ac:dyDescent="0.25">
      <c r="A67" t="s">
        <v>226</v>
      </c>
      <c r="B67">
        <f>(3-SQRT(3))/2-(1/137.036)/17</f>
        <v>0.63354534018494346</v>
      </c>
      <c r="D67" t="s">
        <v>227</v>
      </c>
      <c r="E67">
        <f>2^4</f>
        <v>16</v>
      </c>
      <c r="G67" t="s">
        <v>228</v>
      </c>
      <c r="H67">
        <f>(1/17)*(2/5)*(1/137.036)*EXP(-2.367)</f>
        <v>1.6099091100344583E-5</v>
      </c>
    </row>
    <row r="68" spans="1:8" x14ac:dyDescent="0.25">
      <c r="A68" t="s">
        <v>229</v>
      </c>
      <c r="B68">
        <v>0.63354460000000001</v>
      </c>
      <c r="D68" t="s">
        <v>230</v>
      </c>
      <c r="E68">
        <f>16+1</f>
        <v>17</v>
      </c>
      <c r="G68" t="s">
        <v>231</v>
      </c>
      <c r="H68">
        <f>LOG10(H67)</f>
        <v>-4.7931986420580444</v>
      </c>
    </row>
    <row r="69" spans="1:8" x14ac:dyDescent="0.25">
      <c r="A69" t="s">
        <v>232</v>
      </c>
      <c r="B69">
        <f>B67-B68</f>
        <v>7.401849434485186E-7</v>
      </c>
      <c r="G69" t="s">
        <v>233</v>
      </c>
      <c r="H69">
        <v>-120</v>
      </c>
    </row>
    <row r="70" spans="1:8" x14ac:dyDescent="0.25">
      <c r="A70" t="s">
        <v>234</v>
      </c>
      <c r="B70">
        <f>ABS(B69/B68)*100</f>
        <v>1.1683233405328033E-4</v>
      </c>
      <c r="G70" t="s">
        <v>235</v>
      </c>
      <c r="H70">
        <f>ABS(H69-H68)</f>
        <v>115.20680135794196</v>
      </c>
    </row>
    <row r="71" spans="1:8" x14ac:dyDescent="0.25">
      <c r="A71" t="s">
        <v>236</v>
      </c>
      <c r="B71">
        <f>100-B70</f>
        <v>99.999883167665942</v>
      </c>
    </row>
    <row r="73" spans="1:8" x14ac:dyDescent="0.25">
      <c r="A73" s="15" t="s">
        <v>237</v>
      </c>
    </row>
    <row r="74" spans="1:8" x14ac:dyDescent="0.25">
      <c r="A74" s="16" t="s">
        <v>238</v>
      </c>
    </row>
    <row r="75" spans="1:8" x14ac:dyDescent="0.25">
      <c r="A75" s="17" t="s">
        <v>239</v>
      </c>
      <c r="B75" s="17" t="s">
        <v>240</v>
      </c>
      <c r="C75" s="17" t="s">
        <v>241</v>
      </c>
      <c r="D75" s="17" t="s">
        <v>242</v>
      </c>
      <c r="E75" s="17" t="s">
        <v>243</v>
      </c>
      <c r="F75" s="17" t="s">
        <v>244</v>
      </c>
      <c r="G75" s="17" t="s">
        <v>245</v>
      </c>
      <c r="H75" s="17" t="s">
        <v>62</v>
      </c>
    </row>
    <row r="76" spans="1:8" x14ac:dyDescent="0.25">
      <c r="A76">
        <v>0.1</v>
      </c>
      <c r="B76">
        <f t="shared" ref="B76:B81" si="0">1/SQRT(1-A76^2)</f>
        <v>1.0050378152592121</v>
      </c>
      <c r="C76">
        <f t="shared" ref="C76:C81" si="1">B76</f>
        <v>1.0050378152592121</v>
      </c>
      <c r="D76">
        <f t="shared" ref="D76:D81" si="2">B76</f>
        <v>1.0050378152592121</v>
      </c>
      <c r="E76">
        <f t="shared" ref="E76:E81" si="3">IF(B76&gt;17,17,B76)</f>
        <v>1.0050378152592121</v>
      </c>
      <c r="F76" t="s">
        <v>129</v>
      </c>
      <c r="G76" t="s">
        <v>246</v>
      </c>
      <c r="H76" t="s">
        <v>78</v>
      </c>
    </row>
    <row r="77" spans="1:8" x14ac:dyDescent="0.25">
      <c r="A77">
        <v>0.5</v>
      </c>
      <c r="B77">
        <f t="shared" si="0"/>
        <v>1.1547005383792517</v>
      </c>
      <c r="C77">
        <f t="shared" si="1"/>
        <v>1.1547005383792517</v>
      </c>
      <c r="D77">
        <f t="shared" si="2"/>
        <v>1.1547005383792517</v>
      </c>
      <c r="E77">
        <f t="shared" si="3"/>
        <v>1.1547005383792517</v>
      </c>
      <c r="F77" t="s">
        <v>129</v>
      </c>
      <c r="G77" t="s">
        <v>246</v>
      </c>
      <c r="H77" t="s">
        <v>78</v>
      </c>
    </row>
    <row r="78" spans="1:8" x14ac:dyDescent="0.25">
      <c r="A78">
        <v>0.9</v>
      </c>
      <c r="B78">
        <f t="shared" si="0"/>
        <v>2.294157338705618</v>
      </c>
      <c r="C78">
        <f t="shared" si="1"/>
        <v>2.294157338705618</v>
      </c>
      <c r="D78">
        <f t="shared" si="2"/>
        <v>2.294157338705618</v>
      </c>
      <c r="E78">
        <f t="shared" si="3"/>
        <v>2.294157338705618</v>
      </c>
      <c r="F78" t="s">
        <v>129</v>
      </c>
      <c r="G78" t="s">
        <v>246</v>
      </c>
      <c r="H78" t="s">
        <v>78</v>
      </c>
    </row>
    <row r="79" spans="1:8" x14ac:dyDescent="0.25">
      <c r="A79">
        <v>0.99</v>
      </c>
      <c r="B79">
        <f t="shared" si="0"/>
        <v>7.0888120500833542</v>
      </c>
      <c r="C79">
        <f t="shared" si="1"/>
        <v>7.0888120500833542</v>
      </c>
      <c r="D79">
        <f t="shared" si="2"/>
        <v>7.0888120500833542</v>
      </c>
      <c r="E79">
        <f t="shared" si="3"/>
        <v>7.0888120500833542</v>
      </c>
      <c r="F79" t="s">
        <v>129</v>
      </c>
      <c r="G79" t="s">
        <v>246</v>
      </c>
      <c r="H79" t="s">
        <v>78</v>
      </c>
    </row>
    <row r="80" spans="1:8" x14ac:dyDescent="0.25">
      <c r="A80">
        <v>0.999</v>
      </c>
      <c r="B80">
        <f t="shared" si="0"/>
        <v>22.366272042129371</v>
      </c>
      <c r="C80">
        <f t="shared" si="1"/>
        <v>22.366272042129371</v>
      </c>
      <c r="D80">
        <f t="shared" si="2"/>
        <v>22.366272042129371</v>
      </c>
      <c r="E80">
        <f t="shared" si="3"/>
        <v>17</v>
      </c>
      <c r="F80" t="s">
        <v>129</v>
      </c>
      <c r="G80" t="s">
        <v>246</v>
      </c>
      <c r="H80" t="s">
        <v>78</v>
      </c>
    </row>
    <row r="81" spans="1:8" x14ac:dyDescent="0.25">
      <c r="A81">
        <v>0.99990000000000001</v>
      </c>
      <c r="B81">
        <f t="shared" si="0"/>
        <v>70.712445951914518</v>
      </c>
      <c r="C81">
        <f t="shared" si="1"/>
        <v>70.712445951914518</v>
      </c>
      <c r="D81">
        <f t="shared" si="2"/>
        <v>70.712445951914518</v>
      </c>
      <c r="E81">
        <f t="shared" si="3"/>
        <v>17</v>
      </c>
      <c r="F81" t="s">
        <v>129</v>
      </c>
      <c r="G81" t="s">
        <v>247</v>
      </c>
      <c r="H81" t="s">
        <v>78</v>
      </c>
    </row>
    <row r="83" spans="1:8" ht="15.75" x14ac:dyDescent="0.25">
      <c r="A83" s="18" t="s">
        <v>248</v>
      </c>
    </row>
    <row r="84" spans="1:8" x14ac:dyDescent="0.25">
      <c r="A84" s="19" t="s">
        <v>249</v>
      </c>
      <c r="B84" s="19" t="s">
        <v>250</v>
      </c>
      <c r="C84" s="19" t="s">
        <v>251</v>
      </c>
      <c r="D84" s="19" t="s">
        <v>182</v>
      </c>
      <c r="E84" s="19" t="s">
        <v>252</v>
      </c>
    </row>
    <row r="85" spans="1:8" x14ac:dyDescent="0.25">
      <c r="A85" t="s">
        <v>253</v>
      </c>
      <c r="B85" t="s">
        <v>254</v>
      </c>
      <c r="C85">
        <v>3</v>
      </c>
      <c r="D85" t="s">
        <v>172</v>
      </c>
      <c r="E85" t="s">
        <v>69</v>
      </c>
    </row>
    <row r="86" spans="1:8" x14ac:dyDescent="0.25">
      <c r="A86" t="s">
        <v>255</v>
      </c>
      <c r="B86" t="s">
        <v>256</v>
      </c>
      <c r="C86">
        <v>5</v>
      </c>
      <c r="D86" t="s">
        <v>257</v>
      </c>
      <c r="E86" t="s">
        <v>69</v>
      </c>
    </row>
    <row r="87" spans="1:8" x14ac:dyDescent="0.25">
      <c r="A87" t="s">
        <v>258</v>
      </c>
      <c r="B87" t="s">
        <v>254</v>
      </c>
      <c r="C87">
        <v>2</v>
      </c>
      <c r="D87" t="s">
        <v>259</v>
      </c>
      <c r="E87" t="s">
        <v>78</v>
      </c>
    </row>
    <row r="88" spans="1:8" x14ac:dyDescent="0.25">
      <c r="A88" t="s">
        <v>260</v>
      </c>
      <c r="B88" t="s">
        <v>261</v>
      </c>
      <c r="C88">
        <v>8</v>
      </c>
      <c r="D88" t="s">
        <v>262</v>
      </c>
      <c r="E88" t="s">
        <v>15</v>
      </c>
    </row>
    <row r="89" spans="1:8" x14ac:dyDescent="0.25">
      <c r="A89" t="s">
        <v>263</v>
      </c>
      <c r="B89" t="s">
        <v>256</v>
      </c>
      <c r="C89">
        <v>5</v>
      </c>
      <c r="D89" t="s">
        <v>264</v>
      </c>
      <c r="E89" t="s">
        <v>69</v>
      </c>
    </row>
    <row r="90" spans="1:8" x14ac:dyDescent="0.25">
      <c r="A90" t="s">
        <v>265</v>
      </c>
      <c r="B90" t="s">
        <v>256</v>
      </c>
      <c r="C90">
        <v>6</v>
      </c>
      <c r="D90" t="s">
        <v>266</v>
      </c>
      <c r="E90" t="s">
        <v>69</v>
      </c>
    </row>
    <row r="91" spans="1:8" x14ac:dyDescent="0.25">
      <c r="A91" t="s">
        <v>267</v>
      </c>
      <c r="B91" t="s">
        <v>254</v>
      </c>
      <c r="C91">
        <v>3</v>
      </c>
      <c r="D91" t="s">
        <v>268</v>
      </c>
      <c r="E91" t="s">
        <v>78</v>
      </c>
    </row>
    <row r="92" spans="1:8" x14ac:dyDescent="0.25">
      <c r="A92" t="s">
        <v>269</v>
      </c>
      <c r="B92" t="s">
        <v>261</v>
      </c>
      <c r="C92">
        <v>7</v>
      </c>
      <c r="D92" t="s">
        <v>270</v>
      </c>
      <c r="E92" t="s">
        <v>15</v>
      </c>
    </row>
    <row r="93" spans="1:8" x14ac:dyDescent="0.25">
      <c r="A93" t="s">
        <v>271</v>
      </c>
      <c r="B93" t="s">
        <v>261</v>
      </c>
      <c r="C93">
        <v>8</v>
      </c>
      <c r="D93" t="s">
        <v>272</v>
      </c>
      <c r="E93" t="s">
        <v>15</v>
      </c>
    </row>
    <row r="94" spans="1:8" x14ac:dyDescent="0.25">
      <c r="A94" t="s">
        <v>273</v>
      </c>
      <c r="B94" t="s">
        <v>261</v>
      </c>
      <c r="C94">
        <v>8</v>
      </c>
      <c r="D94" t="s">
        <v>202</v>
      </c>
      <c r="E94" t="s">
        <v>15</v>
      </c>
    </row>
    <row r="95" spans="1:8" x14ac:dyDescent="0.25">
      <c r="A95" s="6" t="s">
        <v>274</v>
      </c>
      <c r="B95" s="6"/>
      <c r="C95" s="6">
        <f>AVERAGE(C85:C94)</f>
        <v>5.5</v>
      </c>
    </row>
    <row r="97" spans="1:6" ht="15.75" x14ac:dyDescent="0.25">
      <c r="A97" s="20" t="s">
        <v>275</v>
      </c>
    </row>
    <row r="98" spans="1:6" x14ac:dyDescent="0.25">
      <c r="A98" s="6" t="s">
        <v>62</v>
      </c>
      <c r="B98" s="6" t="s">
        <v>182</v>
      </c>
    </row>
    <row r="99" spans="1:6" x14ac:dyDescent="0.25">
      <c r="A99" t="s">
        <v>276</v>
      </c>
      <c r="B99" t="s">
        <v>277</v>
      </c>
    </row>
    <row r="100" spans="1:6" x14ac:dyDescent="0.25">
      <c r="A100" t="s">
        <v>278</v>
      </c>
      <c r="B100" t="s">
        <v>279</v>
      </c>
    </row>
    <row r="101" spans="1:6" x14ac:dyDescent="0.25">
      <c r="A101" t="s">
        <v>280</v>
      </c>
      <c r="B101" t="s">
        <v>281</v>
      </c>
    </row>
    <row r="102" spans="1:6" x14ac:dyDescent="0.25">
      <c r="A102" t="s">
        <v>282</v>
      </c>
      <c r="B102" t="s">
        <v>283</v>
      </c>
    </row>
    <row r="103" spans="1:6" x14ac:dyDescent="0.25">
      <c r="A103" t="s">
        <v>284</v>
      </c>
      <c r="B103" t="s">
        <v>285</v>
      </c>
    </row>
    <row r="105" spans="1:6" x14ac:dyDescent="0.25">
      <c r="A105" s="21" t="s">
        <v>286</v>
      </c>
    </row>
    <row r="106" spans="1:6" x14ac:dyDescent="0.25">
      <c r="A106" s="22" t="s">
        <v>56</v>
      </c>
      <c r="B106" s="22" t="s">
        <v>287</v>
      </c>
      <c r="C106" s="22" t="s">
        <v>288</v>
      </c>
      <c r="D106" s="22" t="s">
        <v>138</v>
      </c>
      <c r="E106" s="22" t="s">
        <v>289</v>
      </c>
      <c r="F106" s="22" t="s">
        <v>290</v>
      </c>
    </row>
    <row r="107" spans="1:6" x14ac:dyDescent="0.25">
      <c r="A107">
        <v>1</v>
      </c>
      <c r="B107" t="s">
        <v>291</v>
      </c>
      <c r="C107" t="s">
        <v>292</v>
      </c>
      <c r="D107" t="s">
        <v>293</v>
      </c>
      <c r="E107" t="s">
        <v>294</v>
      </c>
      <c r="F107" t="s">
        <v>145</v>
      </c>
    </row>
    <row r="108" spans="1:6" x14ac:dyDescent="0.25">
      <c r="A108">
        <v>2</v>
      </c>
      <c r="B108" t="s">
        <v>291</v>
      </c>
      <c r="C108" t="s">
        <v>295</v>
      </c>
      <c r="D108" t="s">
        <v>296</v>
      </c>
      <c r="E108" t="s">
        <v>297</v>
      </c>
      <c r="F108" t="s">
        <v>145</v>
      </c>
    </row>
    <row r="109" spans="1:6" x14ac:dyDescent="0.25">
      <c r="A109">
        <v>3</v>
      </c>
      <c r="B109" t="s">
        <v>291</v>
      </c>
      <c r="C109" t="s">
        <v>298</v>
      </c>
      <c r="D109" t="s">
        <v>299</v>
      </c>
      <c r="E109" t="s">
        <v>300</v>
      </c>
      <c r="F109" t="s">
        <v>145</v>
      </c>
    </row>
    <row r="110" spans="1:6" x14ac:dyDescent="0.25">
      <c r="A110">
        <v>4</v>
      </c>
      <c r="B110" t="s">
        <v>301</v>
      </c>
      <c r="C110" t="s">
        <v>302</v>
      </c>
      <c r="D110" t="s">
        <v>114</v>
      </c>
      <c r="E110" t="s">
        <v>303</v>
      </c>
      <c r="F110" t="s">
        <v>145</v>
      </c>
    </row>
    <row r="111" spans="1:6" x14ac:dyDescent="0.25">
      <c r="A111">
        <v>5</v>
      </c>
      <c r="B111" t="s">
        <v>304</v>
      </c>
      <c r="C111" t="s">
        <v>305</v>
      </c>
      <c r="D111" t="s">
        <v>306</v>
      </c>
      <c r="E111" t="s">
        <v>307</v>
      </c>
      <c r="F111" t="s">
        <v>145</v>
      </c>
    </row>
    <row r="112" spans="1:6" x14ac:dyDescent="0.25">
      <c r="A112">
        <v>6</v>
      </c>
      <c r="B112" t="s">
        <v>308</v>
      </c>
      <c r="C112" t="s">
        <v>309</v>
      </c>
      <c r="D112" t="s">
        <v>310</v>
      </c>
      <c r="E112" t="s">
        <v>311</v>
      </c>
      <c r="F112" t="s">
        <v>162</v>
      </c>
    </row>
    <row r="113" spans="1:6" x14ac:dyDescent="0.25">
      <c r="A113">
        <v>7</v>
      </c>
      <c r="B113" t="s">
        <v>308</v>
      </c>
      <c r="C113" t="s">
        <v>312</v>
      </c>
      <c r="D113" t="s">
        <v>313</v>
      </c>
      <c r="E113" t="s">
        <v>314</v>
      </c>
      <c r="F113" t="s">
        <v>162</v>
      </c>
    </row>
    <row r="114" spans="1:6" x14ac:dyDescent="0.25">
      <c r="A114">
        <v>8</v>
      </c>
      <c r="B114" t="s">
        <v>315</v>
      </c>
      <c r="C114" t="s">
        <v>316</v>
      </c>
      <c r="D114" t="s">
        <v>317</v>
      </c>
      <c r="E114" t="s">
        <v>318</v>
      </c>
      <c r="F114" t="s">
        <v>145</v>
      </c>
    </row>
    <row r="115" spans="1:6" x14ac:dyDescent="0.25">
      <c r="A115">
        <v>9</v>
      </c>
      <c r="B115" t="s">
        <v>315</v>
      </c>
      <c r="C115" t="s">
        <v>319</v>
      </c>
      <c r="D115" t="s">
        <v>320</v>
      </c>
      <c r="E115" t="s">
        <v>321</v>
      </c>
      <c r="F115" t="s">
        <v>145</v>
      </c>
    </row>
    <row r="116" spans="1:6" x14ac:dyDescent="0.25">
      <c r="A116">
        <v>10</v>
      </c>
      <c r="B116" t="s">
        <v>322</v>
      </c>
      <c r="C116" t="s">
        <v>323</v>
      </c>
      <c r="D116" t="s">
        <v>324</v>
      </c>
      <c r="E116" t="s">
        <v>325</v>
      </c>
      <c r="F116" t="s">
        <v>162</v>
      </c>
    </row>
    <row r="117" spans="1:6" x14ac:dyDescent="0.25">
      <c r="A117">
        <v>11</v>
      </c>
      <c r="B117" t="s">
        <v>326</v>
      </c>
      <c r="C117" t="s">
        <v>327</v>
      </c>
      <c r="D117" t="s">
        <v>328</v>
      </c>
      <c r="E117" t="s">
        <v>329</v>
      </c>
      <c r="F117" t="s">
        <v>145</v>
      </c>
    </row>
    <row r="118" spans="1:6" x14ac:dyDescent="0.25">
      <c r="A118">
        <v>12</v>
      </c>
      <c r="B118" t="s">
        <v>326</v>
      </c>
      <c r="C118" t="s">
        <v>330</v>
      </c>
      <c r="D118" t="s">
        <v>331</v>
      </c>
      <c r="E118" t="s">
        <v>332</v>
      </c>
      <c r="F118" t="s">
        <v>162</v>
      </c>
    </row>
    <row r="119" spans="1:6" x14ac:dyDescent="0.25">
      <c r="A119">
        <v>13</v>
      </c>
      <c r="B119" t="s">
        <v>333</v>
      </c>
      <c r="C119" t="s">
        <v>334</v>
      </c>
      <c r="D119" t="s">
        <v>335</v>
      </c>
      <c r="E119" t="s">
        <v>336</v>
      </c>
      <c r="F119" t="s">
        <v>162</v>
      </c>
    </row>
    <row r="120" spans="1:6" x14ac:dyDescent="0.25">
      <c r="A120">
        <v>14</v>
      </c>
      <c r="B120" t="s">
        <v>337</v>
      </c>
      <c r="C120" t="s">
        <v>338</v>
      </c>
      <c r="D120" t="s">
        <v>339</v>
      </c>
      <c r="E120" t="s">
        <v>340</v>
      </c>
      <c r="F120" t="s">
        <v>194</v>
      </c>
    </row>
    <row r="121" spans="1:6" x14ac:dyDescent="0.25">
      <c r="A121">
        <v>15</v>
      </c>
      <c r="B121" t="s">
        <v>341</v>
      </c>
      <c r="C121" t="s">
        <v>342</v>
      </c>
      <c r="D121" t="s">
        <v>343</v>
      </c>
      <c r="E121" t="s">
        <v>344</v>
      </c>
      <c r="F121" t="s">
        <v>194</v>
      </c>
    </row>
    <row r="123" spans="1:6" x14ac:dyDescent="0.25">
      <c r="A123" s="23" t="s">
        <v>345</v>
      </c>
    </row>
    <row r="124" spans="1:6" x14ac:dyDescent="0.25">
      <c r="A124" s="24" t="s">
        <v>287</v>
      </c>
      <c r="B124" s="24" t="s">
        <v>346</v>
      </c>
      <c r="C124" s="24" t="s">
        <v>347</v>
      </c>
      <c r="D124" s="24" t="s">
        <v>232</v>
      </c>
      <c r="E124" s="24" t="s">
        <v>62</v>
      </c>
    </row>
    <row r="125" spans="1:6" x14ac:dyDescent="0.25">
      <c r="A125" t="s">
        <v>348</v>
      </c>
      <c r="B125" s="8">
        <v>0.85</v>
      </c>
      <c r="C125" s="8">
        <v>0.9</v>
      </c>
      <c r="D125" s="8">
        <v>0.05</v>
      </c>
      <c r="E125" t="s">
        <v>349</v>
      </c>
    </row>
    <row r="126" spans="1:6" x14ac:dyDescent="0.25">
      <c r="A126" t="s">
        <v>350</v>
      </c>
      <c r="B126" s="8">
        <v>0.2</v>
      </c>
      <c r="C126" s="8">
        <v>0.7</v>
      </c>
      <c r="D126" s="8">
        <v>0.5</v>
      </c>
      <c r="E126" t="s">
        <v>351</v>
      </c>
    </row>
    <row r="127" spans="1:6" x14ac:dyDescent="0.25">
      <c r="A127" t="s">
        <v>328</v>
      </c>
      <c r="B127" s="8">
        <v>0.25</v>
      </c>
      <c r="C127" s="8">
        <v>0.8</v>
      </c>
      <c r="D127" s="8">
        <v>0.55000000000000004</v>
      </c>
      <c r="E127" t="s">
        <v>351</v>
      </c>
    </row>
    <row r="128" spans="1:6" x14ac:dyDescent="0.25">
      <c r="A128" t="s">
        <v>352</v>
      </c>
      <c r="B128" s="8">
        <v>0.05</v>
      </c>
      <c r="C128" s="8">
        <v>0.8</v>
      </c>
      <c r="D128" s="8">
        <v>0.75</v>
      </c>
      <c r="E128" t="s">
        <v>280</v>
      </c>
    </row>
    <row r="129" spans="1:5" x14ac:dyDescent="0.25">
      <c r="A129" t="s">
        <v>353</v>
      </c>
      <c r="B129" s="8">
        <v>0</v>
      </c>
      <c r="C129" s="8">
        <v>0.7</v>
      </c>
      <c r="D129" s="8">
        <v>0.7</v>
      </c>
      <c r="E129" t="s">
        <v>354</v>
      </c>
    </row>
    <row r="130" spans="1:5" x14ac:dyDescent="0.25">
      <c r="A130" t="s">
        <v>355</v>
      </c>
      <c r="B130" s="8">
        <v>0</v>
      </c>
      <c r="C130" s="8">
        <v>0.6</v>
      </c>
      <c r="D130" s="8">
        <v>0.6</v>
      </c>
      <c r="E130" t="s">
        <v>354</v>
      </c>
    </row>
    <row r="131" spans="1:5" x14ac:dyDescent="0.25">
      <c r="A131" t="s">
        <v>356</v>
      </c>
      <c r="B131" s="8">
        <v>0.1</v>
      </c>
      <c r="C131" s="8">
        <v>0.7</v>
      </c>
      <c r="D131" s="8">
        <v>0.6</v>
      </c>
      <c r="E131" t="s">
        <v>351</v>
      </c>
    </row>
    <row r="132" spans="1:5" x14ac:dyDescent="0.25">
      <c r="A132" t="s">
        <v>357</v>
      </c>
      <c r="B132" s="8">
        <v>0.21</v>
      </c>
      <c r="C132" s="8">
        <v>0.74</v>
      </c>
      <c r="D132" s="8">
        <v>0.53</v>
      </c>
      <c r="E132" t="s">
        <v>358</v>
      </c>
    </row>
    <row r="134" spans="1:5" ht="15.75" x14ac:dyDescent="0.25">
      <c r="A134" s="25" t="s">
        <v>359</v>
      </c>
    </row>
    <row r="135" spans="1:5" x14ac:dyDescent="0.25">
      <c r="A135" t="s">
        <v>360</v>
      </c>
    </row>
    <row r="136" spans="1:5" x14ac:dyDescent="0.25">
      <c r="A136" t="s">
        <v>361</v>
      </c>
    </row>
    <row r="137" spans="1:5" x14ac:dyDescent="0.25">
      <c r="A137" t="s">
        <v>362</v>
      </c>
    </row>
    <row r="138" spans="1:5" x14ac:dyDescent="0.25">
      <c r="A138" t="s">
        <v>363</v>
      </c>
    </row>
    <row r="139" spans="1:5" x14ac:dyDescent="0.25">
      <c r="A139" t="s">
        <v>364</v>
      </c>
    </row>
    <row r="140" spans="1:5" x14ac:dyDescent="0.25">
      <c r="A140" t="s">
        <v>365</v>
      </c>
    </row>
    <row r="141" spans="1:5" x14ac:dyDescent="0.25">
      <c r="A141" t="s">
        <v>366</v>
      </c>
    </row>
    <row r="142" spans="1:5" x14ac:dyDescent="0.25">
      <c r="A142" t="s">
        <v>367</v>
      </c>
    </row>
    <row r="144" spans="1:5" x14ac:dyDescent="0.25">
      <c r="A144" t="s">
        <v>368</v>
      </c>
    </row>
    <row r="145" spans="1:3" x14ac:dyDescent="0.25">
      <c r="A145" t="s">
        <v>369</v>
      </c>
    </row>
    <row r="146" spans="1:3" x14ac:dyDescent="0.25">
      <c r="A146" t="s">
        <v>370</v>
      </c>
    </row>
    <row r="147" spans="1:3" x14ac:dyDescent="0.25">
      <c r="A147" t="s">
        <v>371</v>
      </c>
    </row>
    <row r="148" spans="1:3" x14ac:dyDescent="0.25">
      <c r="A148" t="s">
        <v>372</v>
      </c>
    </row>
    <row r="150" spans="1:3" ht="15.75" x14ac:dyDescent="0.25">
      <c r="A150" s="26" t="s">
        <v>373</v>
      </c>
    </row>
    <row r="151" spans="1:3" x14ac:dyDescent="0.25">
      <c r="A151" s="27" t="s">
        <v>374</v>
      </c>
      <c r="B151" s="27" t="s">
        <v>252</v>
      </c>
      <c r="C151" s="27" t="s">
        <v>375</v>
      </c>
    </row>
    <row r="152" spans="1:3" x14ac:dyDescent="0.25">
      <c r="A152" t="s">
        <v>226</v>
      </c>
      <c r="B152">
        <f>B67</f>
        <v>0.63354534018494346</v>
      </c>
      <c r="C152" t="s">
        <v>376</v>
      </c>
    </row>
    <row r="153" spans="1:3" x14ac:dyDescent="0.25">
      <c r="A153" t="s">
        <v>229</v>
      </c>
      <c r="B153">
        <f>B68</f>
        <v>0.63354460000000001</v>
      </c>
      <c r="C153" t="s">
        <v>377</v>
      </c>
    </row>
    <row r="154" spans="1:3" x14ac:dyDescent="0.25">
      <c r="A154" t="s">
        <v>232</v>
      </c>
      <c r="B154">
        <f>B69</f>
        <v>7.401849434485186E-7</v>
      </c>
      <c r="C154" t="s">
        <v>378</v>
      </c>
    </row>
    <row r="155" spans="1:3" x14ac:dyDescent="0.25">
      <c r="A155" s="28" t="s">
        <v>236</v>
      </c>
      <c r="B155">
        <f>B71</f>
        <v>99.999883167665942</v>
      </c>
      <c r="C155" t="s">
        <v>379</v>
      </c>
    </row>
    <row r="157" spans="1:3" x14ac:dyDescent="0.25">
      <c r="A157" t="s">
        <v>380</v>
      </c>
      <c r="B157">
        <f>H67</f>
        <v>1.6099091100344583E-5</v>
      </c>
      <c r="C157" t="s">
        <v>381</v>
      </c>
    </row>
    <row r="158" spans="1:3" x14ac:dyDescent="0.25">
      <c r="A158" t="s">
        <v>231</v>
      </c>
      <c r="B158">
        <f>H68</f>
        <v>-4.7931986420580444</v>
      </c>
      <c r="C158" t="s">
        <v>382</v>
      </c>
    </row>
    <row r="159" spans="1:3" x14ac:dyDescent="0.25">
      <c r="A159" t="s">
        <v>383</v>
      </c>
      <c r="B159">
        <f>H69</f>
        <v>-120</v>
      </c>
      <c r="C159">
        <v>-120</v>
      </c>
    </row>
    <row r="160" spans="1:3" x14ac:dyDescent="0.25">
      <c r="A160" s="29" t="s">
        <v>384</v>
      </c>
      <c r="B160">
        <f>H70</f>
        <v>115.20680135794196</v>
      </c>
      <c r="C160" t="s">
        <v>385</v>
      </c>
    </row>
    <row r="162" spans="1:3" x14ac:dyDescent="0.25">
      <c r="A162" t="s">
        <v>386</v>
      </c>
      <c r="B162">
        <f>B79</f>
        <v>7.0888120500833542</v>
      </c>
      <c r="C162" t="s">
        <v>387</v>
      </c>
    </row>
    <row r="163" spans="1:3" x14ac:dyDescent="0.25">
      <c r="A163" s="29" t="s">
        <v>388</v>
      </c>
      <c r="B163">
        <f>B81</f>
        <v>70.712445951914518</v>
      </c>
      <c r="C163" t="s">
        <v>389</v>
      </c>
    </row>
    <row r="165" spans="1:3" x14ac:dyDescent="0.25">
      <c r="A165" t="s">
        <v>390</v>
      </c>
      <c r="B165">
        <f>C95</f>
        <v>5.5</v>
      </c>
      <c r="C165" t="s">
        <v>391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UST Makale Analizi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 Homosapiens To Homo[DATA]</dc:creator>
  <cp:lastModifiedBy>From Homosapiens To Homo[DATA]</cp:lastModifiedBy>
  <dcterms:created xsi:type="dcterms:W3CDTF">2026-04-23T11:00:22Z</dcterms:created>
  <dcterms:modified xsi:type="dcterms:W3CDTF">2026-04-23T11:00:22Z</dcterms:modified>
</cp:coreProperties>
</file>