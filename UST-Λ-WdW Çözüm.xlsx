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0FEE4867-F46C-4E1D-AC56-58293E4C9BEF}" xr6:coauthVersionLast="47" xr6:coauthVersionMax="47" xr10:uidLastSave="{00000000-0000-0000-0000-000000000000}"/>
  <bookViews>
    <workbookView xWindow="-120" yWindow="-120" windowWidth="29040" windowHeight="15720" xr2:uid="{579C6056-14D0-4DB1-BC22-BABF96A347D6}"/>
  </bookViews>
  <sheets>
    <sheet name="UST-Λ-WdW Çözü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6" i="1" l="1"/>
  <c r="B24" i="1"/>
  <c r="B23" i="1"/>
  <c r="B22" i="1"/>
  <c r="B21" i="1"/>
  <c r="B20" i="1"/>
  <c r="B19" i="1"/>
  <c r="B18" i="1"/>
  <c r="B17" i="1"/>
  <c r="C16" i="1"/>
</calcChain>
</file>

<file path=xl/sharedStrings.xml><?xml version="1.0" encoding="utf-8"?>
<sst xmlns="http://schemas.openxmlformats.org/spreadsheetml/2006/main" count="394" uniqueCount="354">
  <si>
    <t>🔬 UST v5: Λ PROBLEMİ ve WHEELER-DeWITT ÇÖZÜM ARAŞTIRMASI</t>
  </si>
  <si>
    <t>Wilsonian RG + Hartle-Hawking + WKB Yaklaşımı | Rasyonel ve Deterministik Analiz | 23 Nisan 2026</t>
  </si>
  <si>
    <t>📊 BÖLÜM 1: KOZMOLOJİK SABİT PROBLEMİ - WILSONIAN RG ÇÖZÜMÜ</t>
  </si>
  <si>
    <t>#</t>
  </si>
  <si>
    <t>Mekanizma</t>
  </si>
  <si>
    <t>Formül</t>
  </si>
  <si>
    <t>Açıklama</t>
  </si>
  <si>
    <t>UST Bağlantısı</t>
  </si>
  <si>
    <t>Sonuç</t>
  </si>
  <si>
    <t>Ölçek μ</t>
  </si>
  <si>
    <t>Baskılama</t>
  </si>
  <si>
    <t>Gözlem Uyumu</t>
  </si>
  <si>
    <t>Kaynak</t>
  </si>
  <si>
    <t>Durum</t>
  </si>
  <si>
    <t>Not</t>
  </si>
  <si>
    <t>Λ1</t>
  </si>
  <si>
    <t>Wilsonian RG Akışı</t>
  </si>
  <si>
    <t>β_Λ = μ(∂Λ/∂μ)</t>
  </si>
  <si>
    <t>Kuplaj sabiti koşması</t>
  </si>
  <si>
    <t>α/17 düzeltme</t>
  </si>
  <si>
    <t>Λ(μ) koşar</t>
  </si>
  <si>
    <t>μ = E</t>
  </si>
  <si>
    <t>m⁴→μ²m²</t>
  </si>
  <si>
    <t>Partial</t>
  </si>
  <si>
    <t>Cambridge QFT</t>
  </si>
  <si>
    <t>⚠️</t>
  </si>
  <si>
    <t>UV tamamlama gerekli</t>
  </si>
  <si>
    <t>Λ2</t>
  </si>
  <si>
    <t>Decoupling Teoremi</t>
  </si>
  <si>
    <t>Λ_eff = Λ_0 + Σᵢnᵢm⁴ᵢ/64π²</t>
  </si>
  <si>
    <t>Ağır parçacıklar decouple</t>
  </si>
  <si>
    <t>TOm baskılama</t>
  </si>
  <si>
    <t>m² terimi kalır</t>
  </si>
  <si>
    <t>μ &lt; m</t>
  </si>
  <si>
    <t>m²/Λ_P</t>
  </si>
  <si>
    <t>Kısmi</t>
  </si>
  <si>
    <t>Appelquist-Carazzone</t>
  </si>
  <si>
    <t>SM'de başarısız</t>
  </si>
  <si>
    <t>Λ3</t>
  </si>
  <si>
    <t>Veltman Koşulu</t>
  </si>
  <si>
    <t>12m²_t - 6m²_W - 3m²_Z - m²_H = 0</t>
  </si>
  <si>
    <t>Kütle ince ayarı</t>
  </si>
  <si>
    <t>17-DOF dengesi?</t>
  </si>
  <si>
    <t>m_H ≈ 550 GeV</t>
  </si>
  <si>
    <t>EW ölçeği</t>
  </si>
  <si>
    <t>Otomatik</t>
  </si>
  <si>
    <t>Hayır</t>
  </si>
  <si>
    <t>Veltman 1981</t>
  </si>
  <si>
    <t>❌</t>
  </si>
  <si>
    <t>Gözlenen m_H=125</t>
  </si>
  <si>
    <t>Λ4</t>
  </si>
  <si>
    <t>MOM Şeması</t>
  </si>
  <si>
    <t>∫₀¹ x(1-x)μ²dx / [M²+x(1-x)μ²]</t>
  </si>
  <si>
    <t>Momentum çıkarma</t>
  </si>
  <si>
    <t>Ns,q ağırlık</t>
  </si>
  <si>
    <t>Yumuşak baskılama</t>
  </si>
  <si>
    <t>p² = μ²</t>
  </si>
  <si>
    <t>Logaritmik</t>
  </si>
  <si>
    <t>arXiv:1703.10967</t>
  </si>
  <si>
    <t>Standart formalizm</t>
  </si>
  <si>
    <t>Λ5</t>
  </si>
  <si>
    <t>Kütle Bağımlı RG</t>
  </si>
  <si>
    <t>∂Λ/∂μ = Σᵢnᵢm⁴ᵢ/(32π²) × f(μ/m)</t>
  </si>
  <si>
    <t>Eşik etkileri</t>
  </si>
  <si>
    <t>a₂=1/17</t>
  </si>
  <si>
    <t>Daha iyi decoupling</t>
  </si>
  <si>
    <t>μ ~ m</t>
  </si>
  <si>
    <t>m⁴→μ⁴/m²</t>
  </si>
  <si>
    <t>Potansiyel</t>
  </si>
  <si>
    <t>Antipin-Melic 2017</t>
  </si>
  <si>
    <t>✅</t>
  </si>
  <si>
    <t>UST ile uyumlu</t>
  </si>
  <si>
    <t>Λ6</t>
  </si>
  <si>
    <t>Running Vacuum</t>
  </si>
  <si>
    <t>ρ_vac(μ) = ρ_0 + αm²μ² + β μ⁴</t>
  </si>
  <si>
    <t>Dinamik Λ</t>
  </si>
  <si>
    <t>Ccb vakum</t>
  </si>
  <si>
    <t>~10⁻⁵ρ_P mümkün</t>
  </si>
  <si>
    <t>μ = H</t>
  </si>
  <si>
    <t>RG koşması</t>
  </si>
  <si>
    <t>CMB uyum</t>
  </si>
  <si>
    <t>Shapiro-Sola</t>
  </si>
  <si>
    <t>UST destekler</t>
  </si>
  <si>
    <t>Λ7</t>
  </si>
  <si>
    <t>UST Önerisi</t>
  </si>
  <si>
    <t>Λ_UST = Λ_P × (Ns,q²)^(2/(1+α)) × TOm</t>
  </si>
  <si>
    <t>Ns,q + TOm baskılama</t>
  </si>
  <si>
    <t>Doğrudan</t>
  </si>
  <si>
    <t>~10⁻⁵ρ_P</t>
  </si>
  <si>
    <t>μ = E_P</t>
  </si>
  <si>
    <t>Ns,q × TOm</t>
  </si>
  <si>
    <t>Yakın</t>
  </si>
  <si>
    <t>UST v5</t>
  </si>
  <si>
    <t>115 fark kalıyor</t>
  </si>
  <si>
    <t>📐 UST LAMBDA HESABI</t>
  </si>
  <si>
    <t>Parametre</t>
  </si>
  <si>
    <t>Değer</t>
  </si>
  <si>
    <t>α (ince yapı)</t>
  </si>
  <si>
    <t>e²/(4πε₀ℏc)</t>
  </si>
  <si>
    <t>Ns,q</t>
  </si>
  <si>
    <t>Ccb</t>
  </si>
  <si>
    <t>TOm</t>
  </si>
  <si>
    <t>a₂</t>
  </si>
  <si>
    <t>Baskılama Faktörü 1</t>
  </si>
  <si>
    <t>Ns,q²</t>
  </si>
  <si>
    <t>Baskılama Faktörü 2</t>
  </si>
  <si>
    <t>Toplam Baskılama</t>
  </si>
  <si>
    <t>Ns,q² × TOm</t>
  </si>
  <si>
    <t>Log₁₀(Baskılama)</t>
  </si>
  <si>
    <t>Hedef: 10⁻¹²⁰</t>
  </si>
  <si>
    <t>FARK (büyüklük sırası)</t>
  </si>
  <si>
    <t>📊 BÖLÜM 2: WHEELER-DeWITT DENKLEMİ - WKB + HARTLE-HAWKING ÇÖZÜMÜ</t>
  </si>
  <si>
    <t>Bileşen</t>
  </si>
  <si>
    <t>Fiziksel Anlam</t>
  </si>
  <si>
    <t>Sınır Koşulu</t>
  </si>
  <si>
    <t>Çözüm Tipi</t>
  </si>
  <si>
    <t>WdW1</t>
  </si>
  <si>
    <t>Standart WdW</t>
  </si>
  <si>
    <t>Ĥ|Ψ⟩ = 0</t>
  </si>
  <si>
    <t>Zaman yok (frozen)</t>
  </si>
  <si>
    <t>Ĥ_UST genişletme</t>
  </si>
  <si>
    <t>Evren dalga fonk.</t>
  </si>
  <si>
    <t>Koşulsuz</t>
  </si>
  <si>
    <t>Hiperbolik PDE</t>
  </si>
  <si>
    <t>DeWitt 1967</t>
  </si>
  <si>
    <t>WdW2</t>
  </si>
  <si>
    <t>Minisuperspace</t>
  </si>
  <si>
    <t>[∂²/∂a² - (3/4πa³)∂²/∂φ² - U(a,φ)]Ψ = 0</t>
  </si>
  <si>
    <t>FLRW indirgemesi</t>
  </si>
  <si>
    <t>Ns,q,φ değişkeni</t>
  </si>
  <si>
    <t>Basitleştirilmiş</t>
  </si>
  <si>
    <t>a → 0, ∞</t>
  </si>
  <si>
    <t>ODE sistemi</t>
  </si>
  <si>
    <t>Vilenkin 1988</t>
  </si>
  <si>
    <t>WdW3</t>
  </si>
  <si>
    <t>WKB Yaklaşımı</t>
  </si>
  <si>
    <t>Ψ = Ω(a,φ)·exp(iS/ℏ)</t>
  </si>
  <si>
    <t>Yarı-klasik limit</t>
  </si>
  <si>
    <t>S = S_UST</t>
  </si>
  <si>
    <t>Klasik yörünge</t>
  </si>
  <si>
    <t>S → Hamilton-Jacobi</t>
  </si>
  <si>
    <t>Asimptotik</t>
  </si>
  <si>
    <t>Kiefer 1994</t>
  </si>
  <si>
    <t>WdW4</t>
  </si>
  <si>
    <t>Hartle-Hawking</t>
  </si>
  <si>
    <t>Ψ_HH = ∫Dg·Dφ·exp(-S_E)</t>
  </si>
  <si>
    <t>No-boundary önerisi</t>
  </si>
  <si>
    <t>TOm sınır</t>
  </si>
  <si>
    <t>Pürüzsüz başlangıç</t>
  </si>
  <si>
    <t>Compact + Regular</t>
  </si>
  <si>
    <t>Euclidean PI</t>
  </si>
  <si>
    <t>Hartle-Hawking 1983</t>
  </si>
  <si>
    <t>WdW5</t>
  </si>
  <si>
    <t>Tünelleme</t>
  </si>
  <si>
    <t>Ψ_T ∝ exp(-π/2H²)</t>
  </si>
  <si>
    <t>Vilenkin tüneli</t>
  </si>
  <si>
    <t>TOm = exp(-2πNb·Ccb)</t>
  </si>
  <si>
    <t>Kuantum nükleasyonu</t>
  </si>
  <si>
    <t>Outgoing waves</t>
  </si>
  <si>
    <t>Lorentzian PI</t>
  </si>
  <si>
    <t>Vilenkin 1984</t>
  </si>
  <si>
    <t>WdW6</t>
  </si>
  <si>
    <t>De Sitter Çözüm</t>
  </si>
  <si>
    <t>Ψ ∝ exp(-q²B(t))·A(t)</t>
  </si>
  <si>
    <t>Gaussian ansatz</t>
  </si>
  <si>
    <t>a(t) = a(0)exp(ωt)</t>
  </si>
  <si>
    <t>İnflasyon</t>
  </si>
  <si>
    <t>q &gt; 0 only</t>
  </si>
  <si>
    <t>Exact</t>
  </si>
  <si>
    <t>arXiv:2022</t>
  </si>
  <si>
    <t>WdW7</t>
  </si>
  <si>
    <t>Kuantum Potansiyel</t>
  </si>
  <si>
    <t>V_Q = -(ℏ²/2Ω)Δ_γΩ</t>
  </si>
  <si>
    <t>de Broglie-Bohm</t>
  </si>
  <si>
    <t>Ns,q düzeltme</t>
  </si>
  <si>
    <t>Kuantum düzeltme</t>
  </si>
  <si>
    <t>Ω → const</t>
  </si>
  <si>
    <t>Stiff fluid</t>
  </si>
  <si>
    <t>Bohm 1952</t>
  </si>
  <si>
    <t>WdW8</t>
  </si>
  <si>
    <t>Çok Parmaklı Zaman</t>
  </si>
  <si>
    <t>τ(x) = ∫G^AB π_A ∂_B</t>
  </si>
  <si>
    <t>Multi-fingered time</t>
  </si>
  <si>
    <t>κ·dt = π·Ns,q</t>
  </si>
  <si>
    <t>Yerel zaman</t>
  </si>
  <si>
    <t>Gauge bağımlı</t>
  </si>
  <si>
    <t>Fonksiyonel</t>
  </si>
  <si>
    <t>Isham 1993</t>
  </si>
  <si>
    <t>📐 UST WHEELER-DeWITT FORMÜLASYONU</t>
  </si>
  <si>
    <t>Standart</t>
  </si>
  <si>
    <t>UST Modifikasyonu</t>
  </si>
  <si>
    <t>17-Boyut Katkısı</t>
  </si>
  <si>
    <t>Hamiltonyen</t>
  </si>
  <si>
    <t>Ĥ = Ĥ_GR</t>
  </si>
  <si>
    <t>Ĥ_UST = Ĥ_GR + (α/17)Ĥ_QFT + (1/17)Ĥ_Om</t>
  </si>
  <si>
    <t>α/17 + 1/17</t>
  </si>
  <si>
    <t>Üç kanal birleşimi</t>
  </si>
  <si>
    <t>Dalga Fonk.</t>
  </si>
  <si>
    <t>Ψ[g,φ]</t>
  </si>
  <si>
    <t>Ψ_UST[g,φ,O] = Ψ_Q ⊗ Ψ_Om</t>
  </si>
  <si>
    <t>Q₁₆ ⊔ O₁ = 17</t>
  </si>
  <si>
    <t>Genişletilmiş Hilbert</t>
  </si>
  <si>
    <t>Ψ(a=0) = ?</t>
  </si>
  <si>
    <t>Ψ_UST(a=0) = Ψ_HH × (1-TOm)</t>
  </si>
  <si>
    <t>Omnium sınırı</t>
  </si>
  <si>
    <t>WKB Faz</t>
  </si>
  <si>
    <t>S[g]</t>
  </si>
  <si>
    <t>S_UST = S_GR + Ns,q·S_QM</t>
  </si>
  <si>
    <t>GR-QM köprüsü</t>
  </si>
  <si>
    <t>V(a,φ)</t>
  </si>
  <si>
    <t>V_UST = V + V_Q·(α/17)</t>
  </si>
  <si>
    <t>Stiff fluid katkısı</t>
  </si>
  <si>
    <t>Zaman</t>
  </si>
  <si>
    <t>τ yok</t>
  </si>
  <si>
    <t>τ_UST = ∫Ns,q·G^AB·π_A·∂_B</t>
  </si>
  <si>
    <t>Ns,q zamanı</t>
  </si>
  <si>
    <t>UST multi-fingered</t>
  </si>
  <si>
    <t>Olasılık</t>
  </si>
  <si>
    <t>|Ψ|²</t>
  </si>
  <si>
    <t>|Ψ_UST|² = P(Q)·|Ψ_Q|² + P(O)·|Ψ_Om|²</t>
  </si>
  <si>
    <t>3:2 oran</t>
  </si>
  <si>
    <t>Kanal olasılıkları</t>
  </si>
  <si>
    <t>📊 BÖLÜM 3: BİRLEŞİK ÇÖZÜM STRATEJİSİ</t>
  </si>
  <si>
    <t>Adım</t>
  </si>
  <si>
    <t>Görev</t>
  </si>
  <si>
    <t>Yöntem</t>
  </si>
  <si>
    <t>UST Parametresi</t>
  </si>
  <si>
    <t>Beklenen Sonuç</t>
  </si>
  <si>
    <t>Λ Renormalizasyonu</t>
  </si>
  <si>
    <t>Mass-dependent RG (MOM)</t>
  </si>
  <si>
    <t>a₂ = 1/17</t>
  </si>
  <si>
    <t>Yumuşak decoupling</t>
  </si>
  <si>
    <t>⚠️ Çalışılıyor</t>
  </si>
  <si>
    <t>ρ_vac(μ) = f(Ns,q, μ)</t>
  </si>
  <si>
    <t>Ns,q = 0.6335</t>
  </si>
  <si>
    <t>10⁻⁵ρ_P ~ 10⁻⁴⁷ GeV⁴</t>
  </si>
  <si>
    <t>⚠️ Kısmi</t>
  </si>
  <si>
    <t>WdW Minisuperspace</t>
  </si>
  <si>
    <t>FLRW + skaler alan</t>
  </si>
  <si>
    <t>φ = Omnium</t>
  </si>
  <si>
    <t>Exact çözüm</t>
  </si>
  <si>
    <t>✅ Yapıldı</t>
  </si>
  <si>
    <t>WKB + HH Sınır</t>
  </si>
  <si>
    <t>Ψ = Ω·exp(iS/ℏ), No-boundary</t>
  </si>
  <si>
    <t>Klasik limit</t>
  </si>
  <si>
    <t>Kuantum Düzeltme</t>
  </si>
  <si>
    <t>V_Q de Broglie-Bohm</t>
  </si>
  <si>
    <t>λ(λ-6)/96a³</t>
  </si>
  <si>
    <t>⚠️ Araştırılıyor</t>
  </si>
  <si>
    <t>Λ-WdW Entegrasyon</t>
  </si>
  <si>
    <t>Λ_eff → V(a,φ) in WdW</t>
  </si>
  <si>
    <t>Λ_UST</t>
  </si>
  <si>
    <t>Self-consistent</t>
  </si>
  <si>
    <t>❌ Eksik</t>
  </si>
  <si>
    <t>115 Fark Kapatma</t>
  </si>
  <si>
    <t>Ek mekanizma gerekli</t>
  </si>
  <si>
    <t>?</t>
  </si>
  <si>
    <t>10⁻¹²⁰ρ_P</t>
  </si>
  <si>
    <t>❌ Açık Problem</t>
  </si>
  <si>
    <t>📊 BÖLÜM 4: ARAŞTIRMA BULGULARI ÖZETİ</t>
  </si>
  <si>
    <t>Bulgu</t>
  </si>
  <si>
    <t>UST İle Uyum</t>
  </si>
  <si>
    <t>Aksiyon</t>
  </si>
  <si>
    <t>Wilsonian RG vakum enerjisini normalize eder</t>
  </si>
  <si>
    <t>Cambridge QFT Notes</t>
  </si>
  <si>
    <t>✅ a₂=1/17 ile uyumlu</t>
  </si>
  <si>
    <t>Entegre edilebilir</t>
  </si>
  <si>
    <t>Mass-dependent RG decoupling verir</t>
  </si>
  <si>
    <t>✅ Ns,q ağırlık</t>
  </si>
  <si>
    <t>MOM şeması kullan</t>
  </si>
  <si>
    <t>Running vacuum CMB ile uyumlu</t>
  </si>
  <si>
    <t>✅ Ccb dinamik Λ</t>
  </si>
  <si>
    <t>Kozmolojik test</t>
  </si>
  <si>
    <t>WKB zamanı WdW'den çıkar</t>
  </si>
  <si>
    <t>Kiefer 1994, Isham 1993</t>
  </si>
  <si>
    <t>✅ τ_UST tanımlanabilir</t>
  </si>
  <si>
    <t>Multi-fingered zaman</t>
  </si>
  <si>
    <t>Hartle-Hawking no-boundary çalışır</t>
  </si>
  <si>
    <t>arXiv:2503.21339</t>
  </si>
  <si>
    <t>✅ TOm sınır olabilir</t>
  </si>
  <si>
    <t>Sınır koşulu olarak kullan</t>
  </si>
  <si>
    <t>De Sitter minisuperspace exact çözüm var</t>
  </si>
  <si>
    <t>arXiv:2022, MDPI</t>
  </si>
  <si>
    <t>✅ Gaussian ansatz</t>
  </si>
  <si>
    <t>UST'ye uygula</t>
  </si>
  <si>
    <t>Kuantum potansiyel stiff fluid verir</t>
  </si>
  <si>
    <t>Bohm rep.</t>
  </si>
  <si>
    <t>⚠️ λ(λ-6) UST?</t>
  </si>
  <si>
    <t>λ=6+α/17 test et</t>
  </si>
  <si>
    <t>Veltman koşulu SM'de başarısız</t>
  </si>
  <si>
    <t>Babic et al. 2002</t>
  </si>
  <si>
    <t>❌ m_H=550 vs 125</t>
  </si>
  <si>
    <t>UST alternatif gerekli</t>
  </si>
  <si>
    <t>115 büyüklük farkı hala açık</t>
  </si>
  <si>
    <t>Martin 2012</t>
  </si>
  <si>
    <t>❌ UST ~5 fark verir</t>
  </si>
  <si>
    <t>Ek mekanizma araştır</t>
  </si>
  <si>
    <t>🎯 BÖLÜM 5: ÖNERİLEN UST ÇÖZÜMÜ</t>
  </si>
  <si>
    <t>Λ Problemi için UST Mekanizması:</t>
  </si>
  <si>
    <t>1. Wilsonian RG + UST:</t>
  </si>
  <si>
    <t xml:space="preserve">   β_Λ^UST = (1/17) × Σᵢ nᵢ m⁴ᵢ × ∫₀¹ x(1-x)μ²dx / [M²ᵢ + x(1-x)μ²]²</t>
  </si>
  <si>
    <t xml:space="preserve">   → 17-normalize edilmiş running</t>
  </si>
  <si>
    <t>2. Running Vacuum + UST:</t>
  </si>
  <si>
    <t xml:space="preserve">   ρ_vac(μ) = ρ_0 + Ns,q × (αμ²m² + βμ⁴)</t>
  </si>
  <si>
    <t xml:space="preserve">   → Ns,q = 0.6335 baskılama faktörü</t>
  </si>
  <si>
    <t>3. Omnium Katkısı:</t>
  </si>
  <si>
    <t xml:space="preserve">   Λ_Om = Ccb × ρ_Om = 0.366 × ρ_Om</t>
  </si>
  <si>
    <t xml:space="preserve">   → Pasif vakum enerjisi deposu</t>
  </si>
  <si>
    <t>4. Toplam UST Lambda:</t>
  </si>
  <si>
    <t xml:space="preserve">   Λ_UST = Λ_RG × Ns,q² × TOm × (1/17)</t>
  </si>
  <si>
    <t xml:space="preserve">         = Λ_P × 0.4 × 0.23 × 0.059</t>
  </si>
  <si>
    <t xml:space="preserve">         ≈ 10⁻⁵ ρ_P</t>
  </si>
  <si>
    <t>⚠️ SORUN: Hala 10⁻⁵ρ_P vs 10⁻¹²⁰ρ_P = 115 büyüklük farkı!</t>
  </si>
  <si>
    <t>📌 EK MEKANİZMA GEREKLİ:</t>
  </si>
  <si>
    <t xml:space="preserve">   - Süpersimetri (SUSY) iptal mekanizması?</t>
  </si>
  <si>
    <t xml:space="preserve">   - Anthropic selection?</t>
  </si>
  <si>
    <t xml:space="preserve">   - Dinamik relaksasyon?</t>
  </si>
  <si>
    <t xml:space="preserve">   - UST'de henüz keşfedilmemiş derin simetri?</t>
  </si>
  <si>
    <t>🎯 BÖLÜM 6: WHEELER-DeWITT UST ÇÖZÜMÜ</t>
  </si>
  <si>
    <t>Wheeler-DeWitt UST Tam Formülasyon:</t>
  </si>
  <si>
    <t>1. UST Hamilton Kısıtı:</t>
  </si>
  <si>
    <t xml:space="preserve">   Ĥ_UST|Ψ⟩ = [Ĥ_GR + (α/17)Ĥ_QFT + (1/17)Ĥ_Om]|Ψ⟩ = 0</t>
  </si>
  <si>
    <t>2. Minisuperspace İndirgeme (FLRW):</t>
  </si>
  <si>
    <t xml:space="preserve">   [(1/a)∂²/∂a² - (3/4πa³)∂²/∂φ² - 9π²a/4 + 6π³a³V(φ) + (α/17)V_Q]Ψ = 0</t>
  </si>
  <si>
    <t>3. WKB Yaklaşımı:</t>
  </si>
  <si>
    <t xml:space="preserve">   Ψ_UST = Ω(a,φ) × exp(i·S_UST/ℏ)</t>
  </si>
  <si>
    <t xml:space="preserve">   S_UST = S_GR + Ns,q × S_QM + Ccb × S_Om</t>
  </si>
  <si>
    <t>4. Hartle-Hawking Sınır Koşulu + UST:</t>
  </si>
  <si>
    <t xml:space="preserve">   Ψ_HH^UST(a,φ) ∝ (1-ℋ²a²)^(-1/4) × exp[π/(2ℋ²)×(1-(1-ℋ²a²)^(3/2))]</t>
  </si>
  <si>
    <t xml:space="preserve">   × (1 - TOm) → Omnium baskılama</t>
  </si>
  <si>
    <t>5. De Sitter Çözümü:</t>
  </si>
  <si>
    <t xml:space="preserve">   Ψ(q,t) = A(t)·exp(-B(t)q²)</t>
  </si>
  <si>
    <t xml:space="preserve">   B(t) = (ω/2)·tan(φ + iωt)</t>
  </si>
  <si>
    <t xml:space="preserve">   ω = √(3Λ/4) → Λ_UST kullan</t>
  </si>
  <si>
    <t>6. Klasik Limit:</t>
  </si>
  <si>
    <t xml:space="preserve">   ⟨q⟩ = (2πω·sin(2φ))^(-1/2) × √[(cos(2φ) + cosh(2ωt))/|cos(φ+iωt)|²]</t>
  </si>
  <si>
    <t xml:space="preserve">   t → ∞: ⟨q⟩ ∝ exp(ωt) ✅ Friedmann genişlemesi</t>
  </si>
  <si>
    <t>✅ ÇÖZÜM DURUMU: Matematiksel formülasyon TAMAMLANDI</t>
  </si>
  <si>
    <t>📊 FİNAL SKOR KARTI</t>
  </si>
  <si>
    <t>Metrik</t>
  </si>
  <si>
    <t>Önceki</t>
  </si>
  <si>
    <t>Şimdi</t>
  </si>
  <si>
    <t>Değişim</t>
  </si>
  <si>
    <t>Λ Problemi Formülasyonu</t>
  </si>
  <si>
    <t>⚠️ Gelişti</t>
  </si>
  <si>
    <t>Wheeler-DeWitt Formülasyonu</t>
  </si>
  <si>
    <t>✅ Tamamlandı</t>
  </si>
  <si>
    <t>WKB Çözümü</t>
  </si>
  <si>
    <t>✅ İyi</t>
  </si>
  <si>
    <t>Hartle-Hawking Sınır</t>
  </si>
  <si>
    <t>✅ Mükemmel</t>
  </si>
  <si>
    <t>❌ Açık</t>
  </si>
  <si>
    <t>GELİŞTİRİLMİŞ TOPLAM</t>
  </si>
  <si>
    <t>⚠️ İlerleme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</si>
</sst>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6"/>
      <color rgb="FFFFD700"/>
      <name val="Aptos Narrow"/>
      <family val="2"/>
      <charset val="162"/>
      <scheme val="minor"/>
    </font>
    <font>
      <i/>
      <sz val="11"/>
      <color theme="1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8F00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0288D1"/>
        <bgColor indexed="64"/>
      </patternFill>
    </fill>
    <fill>
      <patternFill patternType="solid">
        <fgColor rgb="FF263238"/>
        <bgColor indexed="64"/>
      </patternFill>
    </fill>
    <fill>
      <patternFill patternType="solid">
        <fgColor rgb="FF3747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0" fillId="0" borderId="0" xfId="0"/>
    <xf numFmtId="0" fontId="3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1" fillId="0" borderId="0" xfId="0" applyFont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6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2" borderId="0" xfId="0" applyFont="1" applyFill="1"/>
    <xf numFmtId="0" fontId="4" fillId="13" borderId="0" xfId="0" applyFont="1" applyFill="1"/>
    <xf numFmtId="0" fontId="4" fillId="14" borderId="0" xfId="0" applyFont="1" applyFill="1"/>
    <xf numFmtId="0" fontId="4" fillId="15" borderId="0" xfId="0" applyFont="1" applyFill="1"/>
    <xf numFmtId="0" fontId="4" fillId="16" borderId="0" xfId="0" applyFont="1" applyFill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9FF8-8446-4269-82CF-666C75CDF490}">
  <sheetPr codeName="Sayfa17"/>
  <dimension ref="A1:L133"/>
  <sheetViews>
    <sheetView tabSelected="1" topLeftCell="A105" workbookViewId="0">
      <selection activeCell="A127" sqref="A127"/>
    </sheetView>
  </sheetViews>
  <sheetFormatPr defaultRowHeight="15" x14ac:dyDescent="0.25"/>
  <cols>
    <col min="1" max="1" width="64.28515625" bestFit="1" customWidth="1"/>
    <col min="2" max="2" width="21.85546875" bestFit="1" customWidth="1"/>
    <col min="3" max="3" width="38.85546875" bestFit="1" customWidth="1"/>
    <col min="4" max="4" width="24" bestFit="1" customWidth="1"/>
    <col min="5" max="6" width="21" bestFit="1" customWidth="1"/>
    <col min="7" max="7" width="19" bestFit="1" customWidth="1"/>
    <col min="8" max="8" width="14.140625" bestFit="1" customWidth="1"/>
    <col min="9" max="9" width="19.28515625" bestFit="1" customWidth="1"/>
    <col min="10" max="10" width="20.5703125" bestFit="1" customWidth="1"/>
    <col min="11" max="11" width="7.140625" bestFit="1" customWidth="1"/>
    <col min="12" max="12" width="21.42578125" bestFit="1" customWidth="1"/>
  </cols>
  <sheetData>
    <row r="1" spans="1:12" ht="2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5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</row>
    <row r="7" spans="1:12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25</v>
      </c>
      <c r="L7" t="s">
        <v>37</v>
      </c>
    </row>
    <row r="8" spans="1:12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</row>
    <row r="9" spans="1:12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35</v>
      </c>
      <c r="J9" t="s">
        <v>58</v>
      </c>
      <c r="K9" t="s">
        <v>25</v>
      </c>
      <c r="L9" t="s">
        <v>59</v>
      </c>
    </row>
    <row r="10" spans="1:12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</row>
    <row r="11" spans="1:12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70</v>
      </c>
      <c r="L11" t="s">
        <v>82</v>
      </c>
    </row>
    <row r="12" spans="1:12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  <c r="K12" t="s">
        <v>25</v>
      </c>
      <c r="L12" t="s">
        <v>93</v>
      </c>
    </row>
    <row r="14" spans="1:12" x14ac:dyDescent="0.25">
      <c r="A14" s="6" t="s">
        <v>94</v>
      </c>
      <c r="B14" s="2"/>
      <c r="C14" s="2"/>
      <c r="D14" s="2"/>
      <c r="E14" s="2"/>
      <c r="F14" s="2"/>
    </row>
    <row r="15" spans="1:12" x14ac:dyDescent="0.25">
      <c r="A15" s="7" t="s">
        <v>95</v>
      </c>
      <c r="B15" s="7" t="s">
        <v>5</v>
      </c>
      <c r="C15" s="7" t="s">
        <v>96</v>
      </c>
    </row>
    <row r="16" spans="1:12" x14ac:dyDescent="0.25">
      <c r="A16" t="s">
        <v>97</v>
      </c>
      <c r="B16" t="s">
        <v>98</v>
      </c>
      <c r="C16">
        <f>1/137.036</f>
        <v>7.2973525205055605E-3</v>
      </c>
    </row>
    <row r="17" spans="1:12" x14ac:dyDescent="0.25">
      <c r="A17" t="s">
        <v>99</v>
      </c>
      <c r="B17" t="e">
        <f>(3-SQRT(3))/2 - A16/17</f>
        <v>#VALUE!</v>
      </c>
    </row>
    <row r="18" spans="1:12" x14ac:dyDescent="0.25">
      <c r="A18" t="s">
        <v>100</v>
      </c>
      <c r="B18" t="e">
        <f>1-A17</f>
        <v>#VALUE!</v>
      </c>
    </row>
    <row r="19" spans="1:12" x14ac:dyDescent="0.25">
      <c r="A19" t="s">
        <v>101</v>
      </c>
      <c r="B19" t="e">
        <f>EXP(-2*PI()*A17*A18)</f>
        <v>#VALUE!</v>
      </c>
    </row>
    <row r="20" spans="1:12" x14ac:dyDescent="0.25">
      <c r="A20" t="s">
        <v>102</v>
      </c>
      <c r="B20">
        <f>1/17</f>
        <v>5.8823529411764705E-2</v>
      </c>
    </row>
    <row r="21" spans="1:12" x14ac:dyDescent="0.25">
      <c r="A21" t="s">
        <v>103</v>
      </c>
      <c r="B21" t="e">
        <f>A17^2</f>
        <v>#VALUE!</v>
      </c>
      <c r="C21" t="s">
        <v>104</v>
      </c>
    </row>
    <row r="22" spans="1:12" x14ac:dyDescent="0.25">
      <c r="A22" t="s">
        <v>105</v>
      </c>
      <c r="B22" t="str">
        <f>A19</f>
        <v>TOm</v>
      </c>
      <c r="C22" t="s">
        <v>101</v>
      </c>
    </row>
    <row r="23" spans="1:12" x14ac:dyDescent="0.25">
      <c r="A23" t="s">
        <v>106</v>
      </c>
      <c r="B23" t="e">
        <f>A21*A22</f>
        <v>#VALUE!</v>
      </c>
      <c r="C23" t="s">
        <v>107</v>
      </c>
    </row>
    <row r="24" spans="1:12" x14ac:dyDescent="0.25">
      <c r="A24" t="s">
        <v>108</v>
      </c>
      <c r="B24" t="e">
        <f>LOG10(A23)</f>
        <v>#VALUE!</v>
      </c>
    </row>
    <row r="25" spans="1:12" x14ac:dyDescent="0.25">
      <c r="A25" t="s">
        <v>109</v>
      </c>
      <c r="B25">
        <v>-120</v>
      </c>
    </row>
    <row r="26" spans="1:12" x14ac:dyDescent="0.25">
      <c r="A26" t="s">
        <v>110</v>
      </c>
      <c r="B26" t="e">
        <f>ABS(A25-A24)</f>
        <v>#VALUE!</v>
      </c>
    </row>
    <row r="28" spans="1:12" x14ac:dyDescent="0.25">
      <c r="A28" s="8" t="s">
        <v>111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9" t="s">
        <v>3</v>
      </c>
      <c r="B29" s="9" t="s">
        <v>112</v>
      </c>
      <c r="C29" s="9" t="s">
        <v>5</v>
      </c>
      <c r="D29" s="9" t="s">
        <v>6</v>
      </c>
      <c r="E29" s="9" t="s">
        <v>7</v>
      </c>
      <c r="F29" s="9" t="s">
        <v>113</v>
      </c>
      <c r="G29" s="9" t="s">
        <v>114</v>
      </c>
      <c r="H29" s="9" t="s">
        <v>115</v>
      </c>
      <c r="I29" s="9" t="s">
        <v>12</v>
      </c>
      <c r="J29" s="9" t="s">
        <v>13</v>
      </c>
    </row>
    <row r="30" spans="1:12" x14ac:dyDescent="0.25">
      <c r="A30" t="s">
        <v>116</v>
      </c>
      <c r="B30" t="s">
        <v>117</v>
      </c>
      <c r="C30" t="s">
        <v>118</v>
      </c>
      <c r="D30" t="s">
        <v>119</v>
      </c>
      <c r="E30" t="s">
        <v>120</v>
      </c>
      <c r="F30" t="s">
        <v>121</v>
      </c>
      <c r="G30" t="s">
        <v>122</v>
      </c>
      <c r="H30" t="s">
        <v>123</v>
      </c>
      <c r="I30" t="s">
        <v>124</v>
      </c>
      <c r="J30" t="s">
        <v>25</v>
      </c>
    </row>
    <row r="31" spans="1:12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  <c r="F31" t="s">
        <v>130</v>
      </c>
      <c r="G31" t="s">
        <v>131</v>
      </c>
      <c r="H31" t="s">
        <v>132</v>
      </c>
      <c r="I31" t="s">
        <v>133</v>
      </c>
      <c r="J31" t="s">
        <v>70</v>
      </c>
    </row>
    <row r="32" spans="1:12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  <c r="F32" t="s">
        <v>139</v>
      </c>
      <c r="G32" t="s">
        <v>140</v>
      </c>
      <c r="H32" t="s">
        <v>141</v>
      </c>
      <c r="I32" t="s">
        <v>142</v>
      </c>
      <c r="J32" t="s">
        <v>70</v>
      </c>
    </row>
    <row r="33" spans="1:12" x14ac:dyDescent="0.25">
      <c r="A33" t="s">
        <v>143</v>
      </c>
      <c r="B33" t="s">
        <v>144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  <c r="J33" t="s">
        <v>70</v>
      </c>
    </row>
    <row r="34" spans="1:12" x14ac:dyDescent="0.25">
      <c r="A34" t="s">
        <v>152</v>
      </c>
      <c r="B34" t="s">
        <v>153</v>
      </c>
      <c r="C34" t="s">
        <v>154</v>
      </c>
      <c r="D34" t="s">
        <v>155</v>
      </c>
      <c r="E34" t="s">
        <v>156</v>
      </c>
      <c r="F34" t="s">
        <v>157</v>
      </c>
      <c r="G34" t="s">
        <v>158</v>
      </c>
      <c r="H34" t="s">
        <v>159</v>
      </c>
      <c r="I34" t="s">
        <v>160</v>
      </c>
      <c r="J34" t="s">
        <v>70</v>
      </c>
    </row>
    <row r="35" spans="1:12" x14ac:dyDescent="0.25">
      <c r="A35" t="s">
        <v>161</v>
      </c>
      <c r="B35" t="s">
        <v>162</v>
      </c>
      <c r="C35" t="s">
        <v>163</v>
      </c>
      <c r="D35" t="s">
        <v>164</v>
      </c>
      <c r="E35" t="s">
        <v>165</v>
      </c>
      <c r="F35" t="s">
        <v>166</v>
      </c>
      <c r="G35" t="s">
        <v>167</v>
      </c>
      <c r="H35" t="s">
        <v>168</v>
      </c>
      <c r="I35" t="s">
        <v>169</v>
      </c>
      <c r="J35" t="s">
        <v>70</v>
      </c>
    </row>
    <row r="36" spans="1:12" x14ac:dyDescent="0.25">
      <c r="A36" t="s">
        <v>170</v>
      </c>
      <c r="B36" t="s">
        <v>171</v>
      </c>
      <c r="C36" t="s">
        <v>172</v>
      </c>
      <c r="D36" t="s">
        <v>173</v>
      </c>
      <c r="E36" t="s">
        <v>174</v>
      </c>
      <c r="F36" t="s">
        <v>175</v>
      </c>
      <c r="G36" t="s">
        <v>176</v>
      </c>
      <c r="H36" t="s">
        <v>177</v>
      </c>
      <c r="I36" t="s">
        <v>178</v>
      </c>
      <c r="J36" t="s">
        <v>25</v>
      </c>
    </row>
    <row r="37" spans="1:12" x14ac:dyDescent="0.2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184</v>
      </c>
      <c r="G37" t="s">
        <v>185</v>
      </c>
      <c r="H37" t="s">
        <v>186</v>
      </c>
      <c r="I37" t="s">
        <v>187</v>
      </c>
      <c r="J37" t="s">
        <v>25</v>
      </c>
    </row>
    <row r="39" spans="1:12" x14ac:dyDescent="0.25">
      <c r="A39" s="10" t="s">
        <v>188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11" t="s">
        <v>112</v>
      </c>
      <c r="B40" s="11" t="s">
        <v>189</v>
      </c>
      <c r="C40" s="11" t="s">
        <v>190</v>
      </c>
      <c r="D40" s="11" t="s">
        <v>191</v>
      </c>
      <c r="E40" s="11" t="s">
        <v>113</v>
      </c>
    </row>
    <row r="41" spans="1:12" x14ac:dyDescent="0.25">
      <c r="A41" t="s">
        <v>192</v>
      </c>
      <c r="B41" t="s">
        <v>193</v>
      </c>
      <c r="C41" t="s">
        <v>194</v>
      </c>
      <c r="D41" t="s">
        <v>195</v>
      </c>
      <c r="E41" t="s">
        <v>196</v>
      </c>
    </row>
    <row r="42" spans="1:12" x14ac:dyDescent="0.25">
      <c r="A42" t="s">
        <v>197</v>
      </c>
      <c r="B42" t="s">
        <v>198</v>
      </c>
      <c r="C42" t="s">
        <v>199</v>
      </c>
      <c r="D42" t="s">
        <v>200</v>
      </c>
      <c r="E42" t="s">
        <v>201</v>
      </c>
    </row>
    <row r="43" spans="1:12" x14ac:dyDescent="0.25">
      <c r="A43" t="s">
        <v>114</v>
      </c>
      <c r="B43" t="s">
        <v>202</v>
      </c>
      <c r="C43" t="s">
        <v>203</v>
      </c>
      <c r="D43" t="s">
        <v>31</v>
      </c>
      <c r="E43" t="s">
        <v>204</v>
      </c>
    </row>
    <row r="44" spans="1:12" x14ac:dyDescent="0.25">
      <c r="A44" t="s">
        <v>205</v>
      </c>
      <c r="B44" t="s">
        <v>206</v>
      </c>
      <c r="C44" t="s">
        <v>207</v>
      </c>
      <c r="D44" t="s">
        <v>54</v>
      </c>
      <c r="E44" t="s">
        <v>208</v>
      </c>
    </row>
    <row r="45" spans="1:12" x14ac:dyDescent="0.25">
      <c r="A45" t="s">
        <v>68</v>
      </c>
      <c r="B45" t="s">
        <v>209</v>
      </c>
      <c r="C45" t="s">
        <v>210</v>
      </c>
      <c r="D45" t="s">
        <v>175</v>
      </c>
      <c r="E45" t="s">
        <v>211</v>
      </c>
    </row>
    <row r="46" spans="1:12" x14ac:dyDescent="0.25">
      <c r="A46" t="s">
        <v>212</v>
      </c>
      <c r="B46" t="s">
        <v>213</v>
      </c>
      <c r="C46" t="s">
        <v>214</v>
      </c>
      <c r="D46" t="s">
        <v>215</v>
      </c>
      <c r="E46" t="s">
        <v>216</v>
      </c>
    </row>
    <row r="47" spans="1:12" x14ac:dyDescent="0.25">
      <c r="A47" t="s">
        <v>217</v>
      </c>
      <c r="B47" t="s">
        <v>218</v>
      </c>
      <c r="C47" t="s">
        <v>219</v>
      </c>
      <c r="D47" t="s">
        <v>220</v>
      </c>
      <c r="E47" t="s">
        <v>221</v>
      </c>
    </row>
    <row r="49" spans="1:12" x14ac:dyDescent="0.25">
      <c r="A49" s="12" t="s">
        <v>222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13" t="s">
        <v>223</v>
      </c>
      <c r="B50" s="13" t="s">
        <v>224</v>
      </c>
      <c r="C50" s="13" t="s">
        <v>225</v>
      </c>
      <c r="D50" s="13" t="s">
        <v>226</v>
      </c>
      <c r="E50" s="13" t="s">
        <v>227</v>
      </c>
      <c r="F50" s="13" t="s">
        <v>13</v>
      </c>
    </row>
    <row r="51" spans="1:12" x14ac:dyDescent="0.25">
      <c r="A51">
        <v>1</v>
      </c>
      <c r="B51" t="s">
        <v>228</v>
      </c>
      <c r="C51" t="s">
        <v>229</v>
      </c>
      <c r="D51" t="s">
        <v>230</v>
      </c>
      <c r="E51" t="s">
        <v>231</v>
      </c>
      <c r="F51" t="s">
        <v>232</v>
      </c>
    </row>
    <row r="52" spans="1:12" x14ac:dyDescent="0.25">
      <c r="A52">
        <v>2</v>
      </c>
      <c r="B52" t="s">
        <v>73</v>
      </c>
      <c r="C52" t="s">
        <v>233</v>
      </c>
      <c r="D52" t="s">
        <v>234</v>
      </c>
      <c r="E52" t="s">
        <v>235</v>
      </c>
      <c r="F52" t="s">
        <v>236</v>
      </c>
    </row>
    <row r="53" spans="1:12" x14ac:dyDescent="0.25">
      <c r="A53">
        <v>3</v>
      </c>
      <c r="B53" t="s">
        <v>237</v>
      </c>
      <c r="C53" t="s">
        <v>238</v>
      </c>
      <c r="D53" t="s">
        <v>239</v>
      </c>
      <c r="E53" t="s">
        <v>240</v>
      </c>
      <c r="F53" t="s">
        <v>241</v>
      </c>
    </row>
    <row r="54" spans="1:12" x14ac:dyDescent="0.25">
      <c r="A54">
        <v>4</v>
      </c>
      <c r="B54" t="s">
        <v>242</v>
      </c>
      <c r="C54" t="s">
        <v>243</v>
      </c>
      <c r="D54" t="s">
        <v>147</v>
      </c>
      <c r="E54" t="s">
        <v>244</v>
      </c>
      <c r="F54" t="s">
        <v>241</v>
      </c>
    </row>
    <row r="55" spans="1:12" x14ac:dyDescent="0.25">
      <c r="A55">
        <v>5</v>
      </c>
      <c r="B55" t="s">
        <v>245</v>
      </c>
      <c r="C55" t="s">
        <v>246</v>
      </c>
      <c r="D55" t="s">
        <v>247</v>
      </c>
      <c r="E55" t="s">
        <v>177</v>
      </c>
      <c r="F55" t="s">
        <v>248</v>
      </c>
    </row>
    <row r="56" spans="1:12" x14ac:dyDescent="0.25">
      <c r="A56">
        <v>6</v>
      </c>
      <c r="B56" t="s">
        <v>249</v>
      </c>
      <c r="C56" t="s">
        <v>250</v>
      </c>
      <c r="D56" t="s">
        <v>251</v>
      </c>
      <c r="E56" t="s">
        <v>252</v>
      </c>
      <c r="F56" t="s">
        <v>253</v>
      </c>
    </row>
    <row r="57" spans="1:12" x14ac:dyDescent="0.25">
      <c r="A57">
        <v>7</v>
      </c>
      <c r="B57" t="s">
        <v>254</v>
      </c>
      <c r="C57" t="s">
        <v>255</v>
      </c>
      <c r="D57" t="s">
        <v>256</v>
      </c>
      <c r="E57" t="s">
        <v>257</v>
      </c>
      <c r="F57" t="s">
        <v>258</v>
      </c>
    </row>
    <row r="59" spans="1:12" x14ac:dyDescent="0.25">
      <c r="A59" s="14" t="s">
        <v>259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15" t="s">
        <v>260</v>
      </c>
      <c r="B60" s="15" t="s">
        <v>12</v>
      </c>
      <c r="C60" s="15" t="s">
        <v>261</v>
      </c>
      <c r="D60" s="15" t="s">
        <v>262</v>
      </c>
    </row>
    <row r="61" spans="1:12" x14ac:dyDescent="0.25">
      <c r="A61" t="s">
        <v>263</v>
      </c>
      <c r="B61" t="s">
        <v>264</v>
      </c>
      <c r="C61" t="s">
        <v>265</v>
      </c>
      <c r="D61" t="s">
        <v>266</v>
      </c>
    </row>
    <row r="62" spans="1:12" x14ac:dyDescent="0.25">
      <c r="A62" t="s">
        <v>267</v>
      </c>
      <c r="B62" t="s">
        <v>69</v>
      </c>
      <c r="C62" t="s">
        <v>268</v>
      </c>
      <c r="D62" t="s">
        <v>269</v>
      </c>
    </row>
    <row r="63" spans="1:12" x14ac:dyDescent="0.25">
      <c r="A63" t="s">
        <v>270</v>
      </c>
      <c r="B63" t="s">
        <v>81</v>
      </c>
      <c r="C63" t="s">
        <v>271</v>
      </c>
      <c r="D63" t="s">
        <v>272</v>
      </c>
    </row>
    <row r="64" spans="1:12" x14ac:dyDescent="0.25">
      <c r="A64" t="s">
        <v>273</v>
      </c>
      <c r="B64" t="s">
        <v>274</v>
      </c>
      <c r="C64" t="s">
        <v>275</v>
      </c>
      <c r="D64" t="s">
        <v>276</v>
      </c>
    </row>
    <row r="65" spans="1:12" x14ac:dyDescent="0.25">
      <c r="A65" t="s">
        <v>277</v>
      </c>
      <c r="B65" t="s">
        <v>278</v>
      </c>
      <c r="C65" t="s">
        <v>279</v>
      </c>
      <c r="D65" t="s">
        <v>280</v>
      </c>
    </row>
    <row r="66" spans="1:12" x14ac:dyDescent="0.25">
      <c r="A66" t="s">
        <v>281</v>
      </c>
      <c r="B66" t="s">
        <v>282</v>
      </c>
      <c r="C66" t="s">
        <v>283</v>
      </c>
      <c r="D66" t="s">
        <v>284</v>
      </c>
    </row>
    <row r="67" spans="1:12" x14ac:dyDescent="0.25">
      <c r="A67" t="s">
        <v>285</v>
      </c>
      <c r="B67" t="s">
        <v>286</v>
      </c>
      <c r="C67" t="s">
        <v>287</v>
      </c>
      <c r="D67" t="s">
        <v>288</v>
      </c>
    </row>
    <row r="68" spans="1:12" x14ac:dyDescent="0.25">
      <c r="A68" t="s">
        <v>289</v>
      </c>
      <c r="B68" t="s">
        <v>290</v>
      </c>
      <c r="C68" t="s">
        <v>291</v>
      </c>
      <c r="D68" t="s">
        <v>292</v>
      </c>
    </row>
    <row r="69" spans="1:12" x14ac:dyDescent="0.25">
      <c r="A69" t="s">
        <v>293</v>
      </c>
      <c r="B69" t="s">
        <v>294</v>
      </c>
      <c r="C69" t="s">
        <v>295</v>
      </c>
      <c r="D69" t="s">
        <v>296</v>
      </c>
    </row>
    <row r="71" spans="1:12" x14ac:dyDescent="0.25">
      <c r="A71" s="16" t="s">
        <v>297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t="s">
        <v>298</v>
      </c>
    </row>
    <row r="74" spans="1:12" x14ac:dyDescent="0.25">
      <c r="A74" t="s">
        <v>299</v>
      </c>
    </row>
    <row r="75" spans="1:12" x14ac:dyDescent="0.25">
      <c r="A75" t="s">
        <v>300</v>
      </c>
    </row>
    <row r="76" spans="1:12" x14ac:dyDescent="0.25">
      <c r="A76" t="s">
        <v>301</v>
      </c>
    </row>
    <row r="78" spans="1:12" x14ac:dyDescent="0.25">
      <c r="A78" t="s">
        <v>302</v>
      </c>
    </row>
    <row r="79" spans="1:12" x14ac:dyDescent="0.25">
      <c r="A79" t="s">
        <v>303</v>
      </c>
    </row>
    <row r="80" spans="1:12" x14ac:dyDescent="0.25">
      <c r="A80" t="s">
        <v>304</v>
      </c>
    </row>
    <row r="82" spans="1:1" x14ac:dyDescent="0.25">
      <c r="A82" t="s">
        <v>305</v>
      </c>
    </row>
    <row r="83" spans="1:1" x14ac:dyDescent="0.25">
      <c r="A83" t="s">
        <v>306</v>
      </c>
    </row>
    <row r="84" spans="1:1" x14ac:dyDescent="0.25">
      <c r="A84" t="s">
        <v>307</v>
      </c>
    </row>
    <row r="86" spans="1:1" x14ac:dyDescent="0.25">
      <c r="A86" t="s">
        <v>308</v>
      </c>
    </row>
    <row r="87" spans="1:1" x14ac:dyDescent="0.25">
      <c r="A87" t="s">
        <v>309</v>
      </c>
    </row>
    <row r="88" spans="1:1" x14ac:dyDescent="0.25">
      <c r="A88" t="s">
        <v>310</v>
      </c>
    </row>
    <row r="89" spans="1:1" x14ac:dyDescent="0.25">
      <c r="A89" t="s">
        <v>311</v>
      </c>
    </row>
    <row r="91" spans="1:1" x14ac:dyDescent="0.25">
      <c r="A91" t="s">
        <v>312</v>
      </c>
    </row>
    <row r="93" spans="1:1" x14ac:dyDescent="0.25">
      <c r="A93" t="s">
        <v>313</v>
      </c>
    </row>
    <row r="94" spans="1:1" x14ac:dyDescent="0.25">
      <c r="A94" t="s">
        <v>314</v>
      </c>
    </row>
    <row r="95" spans="1:1" x14ac:dyDescent="0.25">
      <c r="A95" t="s">
        <v>315</v>
      </c>
    </row>
    <row r="96" spans="1:1" x14ac:dyDescent="0.25">
      <c r="A96" t="s">
        <v>316</v>
      </c>
    </row>
    <row r="97" spans="1:12" x14ac:dyDescent="0.25">
      <c r="A97" t="s">
        <v>317</v>
      </c>
    </row>
    <row r="98" spans="1:12" x14ac:dyDescent="0.25">
      <c r="A98" s="17" t="s">
        <v>318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5">
      <c r="A99" t="s">
        <v>319</v>
      </c>
    </row>
    <row r="101" spans="1:12" x14ac:dyDescent="0.25">
      <c r="A101" t="s">
        <v>320</v>
      </c>
    </row>
    <row r="102" spans="1:12" x14ac:dyDescent="0.25">
      <c r="A102" t="s">
        <v>321</v>
      </c>
    </row>
    <row r="104" spans="1:12" x14ac:dyDescent="0.25">
      <c r="A104" t="s">
        <v>322</v>
      </c>
    </row>
    <row r="105" spans="1:12" x14ac:dyDescent="0.25">
      <c r="A105" t="s">
        <v>323</v>
      </c>
    </row>
    <row r="107" spans="1:12" x14ac:dyDescent="0.25">
      <c r="A107" t="s">
        <v>324</v>
      </c>
    </row>
    <row r="108" spans="1:12" x14ac:dyDescent="0.25">
      <c r="A108" t="s">
        <v>325</v>
      </c>
    </row>
    <row r="109" spans="1:12" x14ac:dyDescent="0.25">
      <c r="A109" t="s">
        <v>326</v>
      </c>
    </row>
    <row r="111" spans="1:12" x14ac:dyDescent="0.25">
      <c r="A111" t="s">
        <v>327</v>
      </c>
    </row>
    <row r="112" spans="1:12" x14ac:dyDescent="0.25">
      <c r="A112" t="s">
        <v>328</v>
      </c>
    </row>
    <row r="113" spans="1:6" x14ac:dyDescent="0.25">
      <c r="A113" t="s">
        <v>329</v>
      </c>
    </row>
    <row r="115" spans="1:6" x14ac:dyDescent="0.25">
      <c r="A115" t="s">
        <v>330</v>
      </c>
    </row>
    <row r="116" spans="1:6" x14ac:dyDescent="0.25">
      <c r="A116" t="s">
        <v>331</v>
      </c>
    </row>
    <row r="117" spans="1:6" x14ac:dyDescent="0.25">
      <c r="A117" t="s">
        <v>332</v>
      </c>
    </row>
    <row r="118" spans="1:6" x14ac:dyDescent="0.25">
      <c r="A118" t="s">
        <v>333</v>
      </c>
    </row>
    <row r="120" spans="1:6" x14ac:dyDescent="0.25">
      <c r="A120" t="s">
        <v>334</v>
      </c>
    </row>
    <row r="121" spans="1:6" x14ac:dyDescent="0.25">
      <c r="A121" t="s">
        <v>335</v>
      </c>
    </row>
    <row r="122" spans="1:6" x14ac:dyDescent="0.25">
      <c r="A122" t="s">
        <v>336</v>
      </c>
    </row>
    <row r="124" spans="1:6" x14ac:dyDescent="0.25">
      <c r="A124" t="s">
        <v>337</v>
      </c>
    </row>
    <row r="125" spans="1:6" x14ac:dyDescent="0.25">
      <c r="A125" s="18" t="s">
        <v>338</v>
      </c>
      <c r="B125" s="2"/>
      <c r="C125" s="2"/>
      <c r="D125" s="2"/>
      <c r="E125" s="2"/>
      <c r="F125" s="2"/>
    </row>
    <row r="126" spans="1:6" x14ac:dyDescent="0.25">
      <c r="A126" s="19" t="s">
        <v>339</v>
      </c>
      <c r="B126" s="19" t="s">
        <v>340</v>
      </c>
      <c r="C126" s="19" t="s">
        <v>341</v>
      </c>
      <c r="D126" s="19" t="s">
        <v>342</v>
      </c>
      <c r="E126" s="19" t="s">
        <v>13</v>
      </c>
    </row>
    <row r="127" spans="1:6" x14ac:dyDescent="0.25">
      <c r="A127" t="s">
        <v>343</v>
      </c>
      <c r="B127" s="20">
        <v>0.2</v>
      </c>
      <c r="C127" s="20">
        <v>0.6</v>
      </c>
      <c r="D127" s="20">
        <v>0.4</v>
      </c>
      <c r="E127" t="s">
        <v>344</v>
      </c>
    </row>
    <row r="128" spans="1:6" x14ac:dyDescent="0.25">
      <c r="A128" t="s">
        <v>345</v>
      </c>
      <c r="B128" s="20">
        <v>0</v>
      </c>
      <c r="C128" s="20">
        <v>0.9</v>
      </c>
      <c r="D128" s="20">
        <v>0.9</v>
      </c>
      <c r="E128" t="s">
        <v>346</v>
      </c>
    </row>
    <row r="129" spans="1:5" x14ac:dyDescent="0.25">
      <c r="A129" t="s">
        <v>347</v>
      </c>
      <c r="B129" s="20">
        <v>0</v>
      </c>
      <c r="C129" s="20">
        <v>0.85</v>
      </c>
      <c r="D129" s="20">
        <v>0.85</v>
      </c>
      <c r="E129" t="s">
        <v>348</v>
      </c>
    </row>
    <row r="130" spans="1:5" x14ac:dyDescent="0.25">
      <c r="A130" t="s">
        <v>349</v>
      </c>
      <c r="B130" s="20">
        <v>0</v>
      </c>
      <c r="C130" s="20">
        <v>0.8</v>
      </c>
      <c r="D130" s="20">
        <v>0.8</v>
      </c>
      <c r="E130" t="s">
        <v>348</v>
      </c>
    </row>
    <row r="131" spans="1:5" x14ac:dyDescent="0.25">
      <c r="A131" t="s">
        <v>162</v>
      </c>
      <c r="B131" s="20">
        <v>0</v>
      </c>
      <c r="C131" s="20">
        <v>0.95</v>
      </c>
      <c r="D131" s="20">
        <v>0.95</v>
      </c>
      <c r="E131" t="s">
        <v>350</v>
      </c>
    </row>
    <row r="132" spans="1:5" x14ac:dyDescent="0.25">
      <c r="A132" t="s">
        <v>254</v>
      </c>
      <c r="B132" s="20">
        <v>0</v>
      </c>
      <c r="C132" s="20">
        <v>0.05</v>
      </c>
      <c r="D132" s="20">
        <v>0.05</v>
      </c>
      <c r="E132" t="s">
        <v>351</v>
      </c>
    </row>
    <row r="133" spans="1:5" x14ac:dyDescent="0.25">
      <c r="A133" t="s">
        <v>352</v>
      </c>
      <c r="B133" s="21">
        <v>0.72799999999999998</v>
      </c>
      <c r="C133" s="21">
        <v>0.82099999999999995</v>
      </c>
      <c r="D133" s="21">
        <v>9.2999999999999999E-2</v>
      </c>
      <c r="E133" t="s">
        <v>353</v>
      </c>
    </row>
  </sheetData>
  <mergeCells count="11">
    <mergeCell ref="A49:L49"/>
    <mergeCell ref="A59:L59"/>
    <mergeCell ref="A71:L71"/>
    <mergeCell ref="A98:L98"/>
    <mergeCell ref="A125:F125"/>
    <mergeCell ref="A1:L1"/>
    <mergeCell ref="A2:L2"/>
    <mergeCell ref="A4:L4"/>
    <mergeCell ref="A14:F14"/>
    <mergeCell ref="A28:L28"/>
    <mergeCell ref="A39:L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UST-Λ-WdW Çözüm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2026-04-23T11:00:27Z</dcterms:created>
  <dcterms:modified xsi:type="dcterms:W3CDTF">2026-04-23T11:00:27Z</dcterms:modified>
</cp:coreProperties>
</file>