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ismaKitabi" defaultThemeVersion="202300"/>
  <mc:AlternateContent xmlns:mc="http://schemas.openxmlformats.org/markup-compatibility/2006">
    <mc:Choice Requires="x15">
      <x15ac:absPath xmlns:x15ac="http://schemas.microsoft.com/office/spreadsheetml/2010/11/ac" url="C:\OmniumQ\"/>
    </mc:Choice>
  </mc:AlternateContent>
  <xr:revisionPtr revIDLastSave="0" documentId="8_{33B50A93-670F-4179-B994-A40839A1EABB}" xr6:coauthVersionLast="47" xr6:coauthVersionMax="47" xr10:uidLastSave="{00000000-0000-0000-0000-000000000000}"/>
  <bookViews>
    <workbookView xWindow="-120" yWindow="-120" windowWidth="29040" windowHeight="15720" xr2:uid="{07D01C23-0456-4053-94AE-894C6D05B580}"/>
  </bookViews>
  <sheets>
    <sheet name="GR-QFT-UST Sentez v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33" i="1" l="1"/>
  <c r="D133" i="1"/>
  <c r="C133" i="1"/>
  <c r="B133" i="1"/>
  <c r="E132" i="1"/>
  <c r="D132" i="1"/>
  <c r="D131" i="1"/>
  <c r="E131" i="1" s="1"/>
  <c r="D130" i="1"/>
  <c r="E130" i="1" s="1"/>
  <c r="D129" i="1"/>
  <c r="E129" i="1" s="1"/>
  <c r="E128" i="1"/>
  <c r="D128" i="1"/>
  <c r="E127" i="1"/>
  <c r="D127" i="1"/>
  <c r="E126" i="1"/>
  <c r="D126" i="1"/>
  <c r="C66" i="1"/>
  <c r="D66" i="1" s="1"/>
  <c r="B66" i="1"/>
  <c r="D65" i="1"/>
  <c r="D64" i="1"/>
  <c r="D63" i="1"/>
  <c r="D62" i="1"/>
  <c r="D61" i="1"/>
  <c r="D60" i="1"/>
  <c r="D59" i="1"/>
  <c r="D58" i="1"/>
  <c r="D57" i="1"/>
  <c r="D56" i="1"/>
  <c r="E51" i="1"/>
  <c r="E50" i="1"/>
  <c r="E49" i="1"/>
  <c r="E52" i="1" s="1"/>
  <c r="E48" i="1"/>
  <c r="E47" i="1"/>
  <c r="D13" i="1"/>
  <c r="D9" i="1"/>
  <c r="D10" i="1" s="1"/>
  <c r="D8" i="1"/>
  <c r="C8" i="1"/>
  <c r="D11" i="1" l="1"/>
  <c r="D12" i="1" s="1"/>
  <c r="G66" i="1"/>
</calcChain>
</file>

<file path=xl/sharedStrings.xml><?xml version="1.0" encoding="utf-8"?>
<sst xmlns="http://schemas.openxmlformats.org/spreadsheetml/2006/main" count="664" uniqueCount="502">
  <si>
    <t>🔬 UST v5: GR + QFT + UST BİRLEŞİK TEORİ - TAM SENTEZ TABLOSU</t>
  </si>
  <si>
    <t>GR Denklemleri | QFT Denklemleri | UST Bağlantı Denklemleri | 23 Nisan 2026</t>
  </si>
  <si>
    <t>📊 BÖLÜM 1: UST TEMEL PARAMETRELERİ (Hesaplanmış)</t>
  </si>
  <si>
    <t>Parametre</t>
  </si>
  <si>
    <t>Sembol</t>
  </si>
  <si>
    <t>Formül</t>
  </si>
  <si>
    <t>Değer</t>
  </si>
  <si>
    <t>Birim</t>
  </si>
  <si>
    <t>Kaynak</t>
  </si>
  <si>
    <t>Durum</t>
  </si>
  <si>
    <t>İnce Yapı Sabiti</t>
  </si>
  <si>
    <t>α</t>
  </si>
  <si>
    <t>e²/(4πε₀ℏc)</t>
  </si>
  <si>
    <t>boyutsuz</t>
  </si>
  <si>
    <t>CODATA</t>
  </si>
  <si>
    <t>SABİT</t>
  </si>
  <si>
    <t>Serbestlik Derecesi</t>
  </si>
  <si>
    <t>DOF</t>
  </si>
  <si>
    <t>Cl(1,3) + SU(1) = 2⁴ + 1</t>
  </si>
  <si>
    <t>TÜRETİLDİ</t>
  </si>
  <si>
    <t>✅ KANITLI</t>
  </si>
  <si>
    <t>α/17 Düzeltme</t>
  </si>
  <si>
    <t>α/17</t>
  </si>
  <si>
    <t>HESAPLANDI</t>
  </si>
  <si>
    <t>✅</t>
  </si>
  <si>
    <t>(3-√3)/2 Baseline</t>
  </si>
  <si>
    <t>B₀</t>
  </si>
  <si>
    <t>(3-√3)/2</t>
  </si>
  <si>
    <t>GEOMETRİK</t>
  </si>
  <si>
    <t>Köprü Katsayısı Ns,q</t>
  </si>
  <si>
    <t>Ns,q</t>
  </si>
  <si>
    <t>(3-√3)/2 - α/17</t>
  </si>
  <si>
    <t>UST HESAP</t>
  </si>
  <si>
    <t>✅ KRİTİK</t>
  </si>
  <si>
    <t>Kanal Bağlantısı Ccb</t>
  </si>
  <si>
    <t>Ccb</t>
  </si>
  <si>
    <t>1 - Ns,q</t>
  </si>
  <si>
    <t>Tünel Genliği TOm</t>
  </si>
  <si>
    <t>TOm</t>
  </si>
  <si>
    <t>exp(-2π·Ns,q·Ccb)</t>
  </si>
  <si>
    <t>WKB</t>
  </si>
  <si>
    <t>Heat Kernel a₂</t>
  </si>
  <si>
    <t>a₂</t>
  </si>
  <si>
    <t>📐 BÖLÜM 2: GENEL GÖRELİLİK (GR) DENKLEMLERİ</t>
  </si>
  <si>
    <t>⚛️ KUANTUM ALAN TEORİSİ (QFT) DENKLEMLERİ</t>
  </si>
  <si>
    <t>#</t>
  </si>
  <si>
    <t>Denklem</t>
  </si>
  <si>
    <t>Anlam</t>
  </si>
  <si>
    <t>GR1</t>
  </si>
  <si>
    <t>Metrik Tensör</t>
  </si>
  <si>
    <t>ds² = gμν dxμ dxν</t>
  </si>
  <si>
    <t>Uzay-zaman aralığı</t>
  </si>
  <si>
    <t>QFT1</t>
  </si>
  <si>
    <t>Dirac Denklemi</t>
  </si>
  <si>
    <t>(iγμ∂μ - m)ψ = 0</t>
  </si>
  <si>
    <t>Fermiyonlar</t>
  </si>
  <si>
    <t>GR2</t>
  </si>
  <si>
    <t>Christoffel</t>
  </si>
  <si>
    <t>Γλμν = ½gλσ(∂μgνσ + ∂νgμσ - ∂σgμν)</t>
  </si>
  <si>
    <t>Metrik bağlantı</t>
  </si>
  <si>
    <t>QFT2</t>
  </si>
  <si>
    <t>Klein-Gordon</t>
  </si>
  <si>
    <t>(∂μ∂μ + m²)φ = 0</t>
  </si>
  <si>
    <t>Skaler alan</t>
  </si>
  <si>
    <t>GR3</t>
  </si>
  <si>
    <t>Riemann</t>
  </si>
  <si>
    <t>Rρσμν = ∂μΓρνσ - ∂νΓρμσ + ...</t>
  </si>
  <si>
    <t>Tam eğrilik</t>
  </si>
  <si>
    <t>QFT3</t>
  </si>
  <si>
    <t>Maxwell Kovaryant</t>
  </si>
  <si>
    <t>∂μ Fμν = Jν</t>
  </si>
  <si>
    <t>EM dinamiği</t>
  </si>
  <si>
    <t>GR4</t>
  </si>
  <si>
    <t>Ricci Tensör</t>
  </si>
  <si>
    <t>Rμν = Rλμλν</t>
  </si>
  <si>
    <t>Daralma</t>
  </si>
  <si>
    <t>QFT4</t>
  </si>
  <si>
    <t>Yang-Mills</t>
  </si>
  <si>
    <t>Dμ Fμν = Jν</t>
  </si>
  <si>
    <t>Non-abelyen</t>
  </si>
  <si>
    <t>GR5</t>
  </si>
  <si>
    <t>Ricci Skaler</t>
  </si>
  <si>
    <t>R = gμν Rμν</t>
  </si>
  <si>
    <t>Skaler eğrilik</t>
  </si>
  <si>
    <t>QFT5</t>
  </si>
  <si>
    <t>Feynman Propagatör</t>
  </si>
  <si>
    <t>⟨0|T{φ(x)φ(y)}|0⟩ = iΔF</t>
  </si>
  <si>
    <t>Parçacık prop.</t>
  </si>
  <si>
    <t>GR6</t>
  </si>
  <si>
    <t>Einstein Tensör</t>
  </si>
  <si>
    <t>Gμν = Rμν - ½gμν R</t>
  </si>
  <si>
    <t>Eğrilik komb.</t>
  </si>
  <si>
    <t>QFT6</t>
  </si>
  <si>
    <t>S-Matris</t>
  </si>
  <si>
    <t>S = T exp(-i∫Hint dt)</t>
  </si>
  <si>
    <t>Saçılma</t>
  </si>
  <si>
    <t>GR7</t>
  </si>
  <si>
    <t>Einstein Denklemi</t>
  </si>
  <si>
    <t>Gμν + Λgμν = (8πG/c⁴)Tμν</t>
  </si>
  <si>
    <t>Alan denklemi</t>
  </si>
  <si>
    <t>QFT7</t>
  </si>
  <si>
    <t>Path Integral</t>
  </si>
  <si>
    <t>Z = ∫Dφ exp(iS[φ]/ℏ)</t>
  </si>
  <si>
    <t>Kuantum genlik</t>
  </si>
  <si>
    <t>GR8</t>
  </si>
  <si>
    <t>Bianchi Özdeşliği</t>
  </si>
  <si>
    <t>∇μ Gμν = 0</t>
  </si>
  <si>
    <t>Geometrik korunum</t>
  </si>
  <si>
    <t>QFT8</t>
  </si>
  <si>
    <t>Isı Çekirdeği</t>
  </si>
  <si>
    <t>K(t) = Tr[exp(-tH)]</t>
  </si>
  <si>
    <t>UV regülarizasyon</t>
  </si>
  <si>
    <t>GR9</t>
  </si>
  <si>
    <t>Enerji Korunumu</t>
  </si>
  <si>
    <t>∇μ Tμν = 0</t>
  </si>
  <si>
    <t>Fiziksel korunum</t>
  </si>
  <si>
    <t>QFT9</t>
  </si>
  <si>
    <t>Seeley-DeWitt</t>
  </si>
  <si>
    <t>K(t) ~ (4πt)⁻² Σ aₙ tⁿ</t>
  </si>
  <si>
    <t>Asimptotik</t>
  </si>
  <si>
    <t>GR10</t>
  </si>
  <si>
    <t>Geodezik</t>
  </si>
  <si>
    <t>d²xμ/dτ² + Γμαβ uα uβ = 0</t>
  </si>
  <si>
    <t>Serbest düşme</t>
  </si>
  <si>
    <t>QFT10</t>
  </si>
  <si>
    <t>Ward Özdeşliği</t>
  </si>
  <si>
    <t>kμ Mμ = 0</t>
  </si>
  <si>
    <t>Gauge korunum</t>
  </si>
  <si>
    <t>GR11</t>
  </si>
  <si>
    <t>Schwarzschild</t>
  </si>
  <si>
    <t>ds² = -(1-rs/r)c²dt² + ...</t>
  </si>
  <si>
    <t>Kara delik</t>
  </si>
  <si>
    <t>QFT11</t>
  </si>
  <si>
    <t>Konformal Anomali</t>
  </si>
  <si>
    <t>⟨Tμμ⟩ = aE₄ + cW²</t>
  </si>
  <si>
    <t>Simetri kırılması</t>
  </si>
  <si>
    <t>GR12</t>
  </si>
  <si>
    <t>Friedmann</t>
  </si>
  <si>
    <t>(ȧ/a)² = 8πGρ/3 - k/a² + Λ/3</t>
  </si>
  <si>
    <t>Kozmoloji</t>
  </si>
  <si>
    <t>QFT12</t>
  </si>
  <si>
    <t>Casimir Enerji</t>
  </si>
  <si>
    <t>E = -π²ℏc/(720a³)</t>
  </si>
  <si>
    <t>Vakum enerji</t>
  </si>
  <si>
    <t>🔗 BÖLÜM 3: UST BAĞLANTI DENKLEMLERİ (GR ↔ QFT Köprüsü)</t>
  </si>
  <si>
    <t>Denklem Adı</t>
  </si>
  <si>
    <t>UST Formülü</t>
  </si>
  <si>
    <t>GR Karşılığı</t>
  </si>
  <si>
    <t>QFT Karşılığı</t>
  </si>
  <si>
    <t>17-Boyut Katkısı</t>
  </si>
  <si>
    <t>Türetim</t>
  </si>
  <si>
    <t>Test</t>
  </si>
  <si>
    <t>Not</t>
  </si>
  <si>
    <t>UST1</t>
  </si>
  <si>
    <t>Modifiye Einstein</t>
  </si>
  <si>
    <t>Gμν + Λgμν - (α/17)Cμν = κTμν</t>
  </si>
  <si>
    <t>α/17 düzeltme</t>
  </si>
  <si>
    <t>Bianchi tutarlı</t>
  </si>
  <si>
    <t>LIGO</t>
  </si>
  <si>
    <t>Ana denklem</t>
  </si>
  <si>
    <t>UST2</t>
  </si>
  <si>
    <t>Wheeler-DeWitt UST</t>
  </si>
  <si>
    <t>Ĥ_UST|Ψ⟩ = 0</t>
  </si>
  <si>
    <t>-</t>
  </si>
  <si>
    <t>Ĥ = ĤGR + (α/17)ĤQFT</t>
  </si>
  <si>
    <t>Kanonik</t>
  </si>
  <si>
    <t>Teorik</t>
  </si>
  <si>
    <t>UST3</t>
  </si>
  <si>
    <t>Path Integral UST</t>
  </si>
  <si>
    <t>Z = ∫Dg·Dφ·DO exp(iS_UST/ℏ)</t>
  </si>
  <si>
    <t>Omnium int.</t>
  </si>
  <si>
    <t>Fonksiyonel</t>
  </si>
  <si>
    <t>Tam QG</t>
  </si>
  <si>
    <t>UST4</t>
  </si>
  <si>
    <t>T^QM_μν Operatör</t>
  </si>
  <si>
    <t>Ns,q·Tr(ρ_Q·T̂μν) + Ccb·ρΩ·gμν</t>
  </si>
  <si>
    <t>GR7 Tμν</t>
  </si>
  <si>
    <t>İki kanal</t>
  </si>
  <si>
    <t>Vakum VEV</t>
  </si>
  <si>
    <t>CMB</t>
  </si>
  <si>
    <t>Enerji-mom.</t>
  </si>
  <si>
    <t>UST5</t>
  </si>
  <si>
    <t>Cμν Tensörü</t>
  </si>
  <si>
    <t>Rμν - ¼gμνR + (1/17)⟨Tμν⟩vac</t>
  </si>
  <si>
    <t>GR4+GR5</t>
  </si>
  <si>
    <t>1/17 norm</t>
  </si>
  <si>
    <t>Geometrik</t>
  </si>
  <si>
    <t>GW</t>
  </si>
  <si>
    <t>Düzeltme</t>
  </si>
  <si>
    <t>UST6</t>
  </si>
  <si>
    <t>Qμν Anomali (1-loop)</t>
  </si>
  <si>
    <t>(αℏ/17·16π²)log(E/Ep)(Rμν-¼gμνR)</t>
  </si>
  <si>
    <t>RG akışı</t>
  </si>
  <si>
    <t>1-loop QFT</t>
  </si>
  <si>
    <t>LHC</t>
  </si>
  <si>
    <t>Kuantum</t>
  </si>
  <si>
    <t>UST7</t>
  </si>
  <si>
    <t>Dirac UST (Eğri)</t>
  </si>
  <si>
    <t>iγμDμψ = m(1+Ns,q/17)ψ + TOm·γ⁵ψ</t>
  </si>
  <si>
    <t>Kütle modif.</t>
  </si>
  <si>
    <t>Tetrad</t>
  </si>
  <si>
    <t>Parçacık</t>
  </si>
  <si>
    <t>Fermiyonik</t>
  </si>
  <si>
    <t>UST8</t>
  </si>
  <si>
    <t>Hawking T_UST</t>
  </si>
  <si>
    <t>TH(1-Ns,q) + TOm·Tp/M</t>
  </si>
  <si>
    <t>Omnium düzelt.</t>
  </si>
  <si>
    <t>Yarı-klasik</t>
  </si>
  <si>
    <t>KD</t>
  </si>
  <si>
    <t>Sıcaklık</t>
  </si>
  <si>
    <t>UST9</t>
  </si>
  <si>
    <t>Bekenstein S_UST</t>
  </si>
  <si>
    <t>Ac³/4Gℏ·(1+α/17) - log(A/lp²)/17</t>
  </si>
  <si>
    <t>QFT15</t>
  </si>
  <si>
    <t>Kuantum log</t>
  </si>
  <si>
    <t>Holografik</t>
  </si>
  <si>
    <t>Entropi</t>
  </si>
  <si>
    <t>UST10</t>
  </si>
  <si>
    <t>Graviton Propagatör</t>
  </si>
  <si>
    <t>Pμνρσ·(1-αk²lp²/17)/(k²+iε)</t>
  </si>
  <si>
    <t>UV düzeltme</t>
  </si>
  <si>
    <t>Feynman</t>
  </si>
  <si>
    <t>QG parçacık</t>
  </si>
  <si>
    <t>UST11</t>
  </si>
  <si>
    <t>Kozmolojik Sabit</t>
  </si>
  <si>
    <t>ΛΩ = 8πG·ρΩ·(Ns,q)²</t>
  </si>
  <si>
    <t>GR15</t>
  </si>
  <si>
    <t>Omnium VEV</t>
  </si>
  <si>
    <t>Termo</t>
  </si>
  <si>
    <t>Planck</t>
  </si>
  <si>
    <t>Λ problemi</t>
  </si>
  <si>
    <t>UST12</t>
  </si>
  <si>
    <t>Karanlık Madde</t>
  </si>
  <si>
    <t>ΩDM = TOm + Ns,q/17</t>
  </si>
  <si>
    <t>GR14</t>
  </si>
  <si>
    <t>Tünel + a₂</t>
  </si>
  <si>
    <t>🔢 BÖLÜM 4: 17-BOYUT TÜRETİM KANALLARI (5 Bağımsız Kaynak)</t>
  </si>
  <si>
    <t>Hesaplama</t>
  </si>
  <si>
    <t>Sonuç</t>
  </si>
  <si>
    <t>Fiziksel Anlam</t>
  </si>
  <si>
    <t>GR/QFT</t>
  </si>
  <si>
    <t>Doğrulama</t>
  </si>
  <si>
    <t>T1</t>
  </si>
  <si>
    <t>Clifford Cebri</t>
  </si>
  <si>
    <t>dim Cl(1,3) + SU(1)</t>
  </si>
  <si>
    <t>2^(1+3) + 1</t>
  </si>
  <si>
    <t>4D uzay-zaman cebri + Omnium</t>
  </si>
  <si>
    <t>GR+QFT</t>
  </si>
  <si>
    <t>Matematik</t>
  </si>
  <si>
    <t>T2</t>
  </si>
  <si>
    <t>Fibonacci</t>
  </si>
  <si>
    <t>(F7 + F8) / 2</t>
  </si>
  <si>
    <t>(13 + 21) / 2</t>
  </si>
  <si>
    <t>Fibonacci orta değeri</t>
  </si>
  <si>
    <t>T3</t>
  </si>
  <si>
    <t>Fermat Asalı</t>
  </si>
  <si>
    <t>2^(2^n) + 1, n=2</t>
  </si>
  <si>
    <t>2^4 + 1</t>
  </si>
  <si>
    <t>4. Fermat asalı</t>
  </si>
  <si>
    <t>T4</t>
  </si>
  <si>
    <t>Standart Model</t>
  </si>
  <si>
    <t>6q + 6l + 4b + 1H</t>
  </si>
  <si>
    <t>6+6+4+1</t>
  </si>
  <si>
    <t>Temel parçacık sayısı</t>
  </si>
  <si>
    <t>QFT</t>
  </si>
  <si>
    <t>Gözlem</t>
  </si>
  <si>
    <t>T5</t>
  </si>
  <si>
    <t>UST Fiber</t>
  </si>
  <si>
    <t>Q₁₆ ⊔ O₁</t>
  </si>
  <si>
    <t>16 + 1</t>
  </si>
  <si>
    <t>Aktif + Pasif kanal</t>
  </si>
  <si>
    <t>UST</t>
  </si>
  <si>
    <t>Yapısal</t>
  </si>
  <si>
    <t>DOĞRULAMA</t>
  </si>
  <si>
    <t>Tüm Kaynaklar</t>
  </si>
  <si>
    <t>T1 = T2 = T3 = T4 = T5</t>
  </si>
  <si>
    <t>17 = 17 = 17 = 17 = 17</t>
  </si>
  <si>
    <t>5 bağımsız türetim eşleşti</t>
  </si>
  <si>
    <t>Cebirsel</t>
  </si>
  <si>
    <t>✅ KANITLANDI</t>
  </si>
  <si>
    <t>📊 BÖLÜM 5: UST v5 GÜNCEL DURUM TABLOSU</t>
  </si>
  <si>
    <t>Kategori</t>
  </si>
  <si>
    <t>Önceki %</t>
  </si>
  <si>
    <t>Şimdi %</t>
  </si>
  <si>
    <t>Değişim</t>
  </si>
  <si>
    <t>Açıklama</t>
  </si>
  <si>
    <t>Kritik Eksik</t>
  </si>
  <si>
    <t>17-Boyut Türetimi</t>
  </si>
  <si>
    <t>5 bağımsız kaynaktan türetildi</t>
  </si>
  <si>
    <t>YOK</t>
  </si>
  <si>
    <t>✅ TAMAM</t>
  </si>
  <si>
    <t>GR Entegrasyonu</t>
  </si>
  <si>
    <t>Tüm GR denklemleri entegre</t>
  </si>
  <si>
    <t>QFT Entegrasyonu</t>
  </si>
  <si>
    <t>Tüm QFT denklemleri entegre</t>
  </si>
  <si>
    <t>Wheeler-DeWitt</t>
  </si>
  <si>
    <t>UST versiyonu formüle edildi</t>
  </si>
  <si>
    <t>Çözüm?</t>
  </si>
  <si>
    <t>⚠️ DEVAM</t>
  </si>
  <si>
    <t>Z_UST tanımlandı</t>
  </si>
  <si>
    <t>UV yakınsama</t>
  </si>
  <si>
    <t>Hawking-Bekenstein</t>
  </si>
  <si>
    <t>TH_UST, S_UST formüle edildi</t>
  </si>
  <si>
    <t>Backreaction</t>
  </si>
  <si>
    <t>Dirac Eğri Uzay</t>
  </si>
  <si>
    <t>Tetrad formalizm eklendi</t>
  </si>
  <si>
    <t>Kütle hesap</t>
  </si>
  <si>
    <t>UST versiyonu tanımlandı</t>
  </si>
  <si>
    <t>2-loop</t>
  </si>
  <si>
    <t>a₂=1/17 İspatı</t>
  </si>
  <si>
    <t>Heat kernel türetildi</t>
  </si>
  <si>
    <t>Kozmolojik Tahminler</t>
  </si>
  <si>
    <t>H₀, ΩDM, Ωb uyumu</t>
  </si>
  <si>
    <t>GENEL ORTALAMA</t>
  </si>
  <si>
    <t>Toplam ilerleme</t>
  </si>
  <si>
    <t>⚠️ BÖLÜM 6: KALAN EKSİKLİKLER - RASYONEL ANALİZ</t>
  </si>
  <si>
    <t>Eksiklik</t>
  </si>
  <si>
    <t>Mevcut Durum</t>
  </si>
  <si>
    <t>Gerekli İş</t>
  </si>
  <si>
    <t>Öncelik</t>
  </si>
  <si>
    <t>Çözüm Yolu</t>
  </si>
  <si>
    <t>Zorluk</t>
  </si>
  <si>
    <t>Tahmini Süre</t>
  </si>
  <si>
    <t>E1</t>
  </si>
  <si>
    <t>Wheeler-DeWitt Çözümü</t>
  </si>
  <si>
    <t>Denklem var, çözüm yok</t>
  </si>
  <si>
    <t>|Ψ⟩ dalga fonksiyonu hesaplanmalı</t>
  </si>
  <si>
    <t>KRİTİK</t>
  </si>
  <si>
    <t>Minisuperspace yaklaşımı</t>
  </si>
  <si>
    <t>YÜKSEK</t>
  </si>
  <si>
    <t>2-3 ay</t>
  </si>
  <si>
    <t>E2</t>
  </si>
  <si>
    <t>Path Integral UV Yakınsama</t>
  </si>
  <si>
    <t>Tanım var, yakınsama?</t>
  </si>
  <si>
    <t>Regülarizasyon şeması gerekli</t>
  </si>
  <si>
    <t>Zeta fonksiyonu reg.</t>
  </si>
  <si>
    <t>1-2 ay</t>
  </si>
  <si>
    <t>E3</t>
  </si>
  <si>
    <t>Graviton 2-loop</t>
  </si>
  <si>
    <t>1-loop tamam</t>
  </si>
  <si>
    <t>2-loop düzeltmeler hesaplanmalı</t>
  </si>
  <si>
    <t>ORTA</t>
  </si>
  <si>
    <t>Feynman diyagramları</t>
  </si>
  <si>
    <t>1 ay</t>
  </si>
  <si>
    <t>E4</t>
  </si>
  <si>
    <t>Tam kuantum geri-tepki</t>
  </si>
  <si>
    <t>Self-consistent çözüm</t>
  </si>
  <si>
    <t>E5</t>
  </si>
  <si>
    <t>Λ 10¹²⁰ Problemi</t>
  </si>
  <si>
    <t>10⁻⁵ vs 10⁻¹²⁰</t>
  </si>
  <si>
    <t>115 büyüklük farkı açıklanmalı</t>
  </si>
  <si>
    <t>RG akış mekanizması</t>
  </si>
  <si>
    <t>ÇOK YÜKSEK</t>
  </si>
  <si>
    <t>6+ ay</t>
  </si>
  <si>
    <t>E6</t>
  </si>
  <si>
    <t>Deneysel Doğrulama</t>
  </si>
  <si>
    <t>Tahminler var</t>
  </si>
  <si>
    <t>LHC/LIGO/CMB verileri</t>
  </si>
  <si>
    <t>Veri analizi</t>
  </si>
  <si>
    <t>DÜŞÜK</t>
  </si>
  <si>
    <t>1-2 yıl</t>
  </si>
  <si>
    <t>E7</t>
  </si>
  <si>
    <t>Holografik Prensip</t>
  </si>
  <si>
    <t>Hiç yok</t>
  </si>
  <si>
    <t>AdS/CFT uyumu kontrolü</t>
  </si>
  <si>
    <t>Bulk-sınır ilişkisi</t>
  </si>
  <si>
    <t>3-6 ay</t>
  </si>
  <si>
    <t>E8</t>
  </si>
  <si>
    <t>SUSY Uyumu</t>
  </si>
  <si>
    <t>Süpersimetri entegrasyonu</t>
  </si>
  <si>
    <t>N=1 SUSY genişleme</t>
  </si>
  <si>
    <t>🎯 BÖLÜM 7: RASYONEL VE DÜRÜST DEĞERLENDİRME</t>
  </si>
  <si>
    <t>✅ GÜÇLÜ YÖNLER (Kanıtlanmış/Türetilmiş)</t>
  </si>
  <si>
    <t>⚠️ ZAYIF YÖNLER (Açık Problemler)</t>
  </si>
  <si>
    <t>Özellik</t>
  </si>
  <si>
    <t>Kanıt</t>
  </si>
  <si>
    <t>Güven</t>
  </si>
  <si>
    <t>Değerlendirme</t>
  </si>
  <si>
    <t>Problem</t>
  </si>
  <si>
    <t>Risk</t>
  </si>
  <si>
    <t>S1</t>
  </si>
  <si>
    <t>17-Boyut = Türetilmiş</t>
  </si>
  <si>
    <t>5 bağımsız matematik kaynağı</t>
  </si>
  <si>
    <t>Postüla değil, matematiksel zorunluluk</t>
  </si>
  <si>
    <t>W1</t>
  </si>
  <si>
    <t>Λ Problemi</t>
  </si>
  <si>
    <t>115 büyüklük farkı</t>
  </si>
  <si>
    <t>Ana açık problem, çözüm belirsiz</t>
  </si>
  <si>
    <t>S2</t>
  </si>
  <si>
    <t>Bianchi Tutarlılığı</t>
  </si>
  <si>
    <t>∇μGμν = 0 korunuyor</t>
  </si>
  <si>
    <t>Geometrik tutarlılık sağlanmış</t>
  </si>
  <si>
    <t>W2</t>
  </si>
  <si>
    <t>Deneysel Test</t>
  </si>
  <si>
    <t>Henüz doğrulanmadı</t>
  </si>
  <si>
    <t>2026-2028 testleri bekleniyor</t>
  </si>
  <si>
    <t>S3</t>
  </si>
  <si>
    <t>GR-QFT Köprüsü</t>
  </si>
  <si>
    <t>Ns,q ile birleşim</t>
  </si>
  <si>
    <t>İki teori arasında tutarlı bağlantı</t>
  </si>
  <si>
    <t>W3</t>
  </si>
  <si>
    <t>UV Tamamlama</t>
  </si>
  <si>
    <t>Graviton döngüleri</t>
  </si>
  <si>
    <t>Renormalize edilebilirlik?</t>
  </si>
  <si>
    <t>S4</t>
  </si>
  <si>
    <t>Kozmolojik Uyum</t>
  </si>
  <si>
    <t>H₀, ΩDM Planck verisi</t>
  </si>
  <si>
    <t>Gözlemsel destek mevcut</t>
  </si>
  <si>
    <t>W4</t>
  </si>
  <si>
    <t>Entegre değil</t>
  </si>
  <si>
    <t>AdS/CFT uyumu kontrol edilmeli</t>
  </si>
  <si>
    <t>S5</t>
  </si>
  <si>
    <t>Heat Kernel a₂=1/17</t>
  </si>
  <si>
    <t>Clifford cebri türetimi</t>
  </si>
  <si>
    <t>Matematiksel olarak tutarlı</t>
  </si>
  <si>
    <t>W5</t>
  </si>
  <si>
    <t>SUSY</t>
  </si>
  <si>
    <t>Dahil değil</t>
  </si>
  <si>
    <t>Opsiyonel genişleme</t>
  </si>
  <si>
    <t>S6</t>
  </si>
  <si>
    <t>Deterministik Yapı</t>
  </si>
  <si>
    <t>Keyfi parametre yok</t>
  </si>
  <si>
    <t>Tüm sabitler türetilmiş</t>
  </si>
  <si>
    <t>W6</t>
  </si>
  <si>
    <t>Sicim Teorisi</t>
  </si>
  <si>
    <t>Karşılaştırma yok</t>
  </si>
  <si>
    <t>Alternatif değerlendirme gerekli</t>
  </si>
  <si>
    <t>📋 BÖLÜM 8: NE YAPILMALI? - RASYONEL YOL HARİTASI</t>
  </si>
  <si>
    <t>Görev</t>
  </si>
  <si>
    <t>Girdi</t>
  </si>
  <si>
    <t>Çıktı</t>
  </si>
  <si>
    <t>Başarı Kriteri</t>
  </si>
  <si>
    <t>Süre</t>
  </si>
  <si>
    <t>1-ACİL</t>
  </si>
  <si>
    <t>Λ Problemi RG Akışı</t>
  </si>
  <si>
    <t>10¹²⁰ farkı için RG mekanizması</t>
  </si>
  <si>
    <t>QFT11, UST11</t>
  </si>
  <si>
    <t>β fonksiyonu</t>
  </si>
  <si>
    <t>Λ_obs ~ Λ_UST</t>
  </si>
  <si>
    <t>2-ACİL</t>
  </si>
  <si>
    <t>Evren dalga fonksiyonu hesabı</t>
  </si>
  <si>
    <t>|Ψ⟩ çözümü</t>
  </si>
  <si>
    <t>Normallenebilir Ψ</t>
  </si>
  <si>
    <t>3-YÜKSEK</t>
  </si>
  <si>
    <t>LHC Veri Analizi</t>
  </si>
  <si>
    <t>α/17 düzeltme arama</t>
  </si>
  <si>
    <t>UST1, UST6</t>
  </si>
  <si>
    <t>σ sapması</t>
  </si>
  <si>
    <t>p &lt; 0.05</t>
  </si>
  <si>
    <t>4-YÜKSEK</t>
  </si>
  <si>
    <t>LIGO GW Analizi</t>
  </si>
  <si>
    <t>Graviton propagatör testi</t>
  </si>
  <si>
    <t>h sapması</t>
  </si>
  <si>
    <t>SNR &gt; 5</t>
  </si>
  <si>
    <t>5-ORTA</t>
  </si>
  <si>
    <t>CMB-S4 Hazırlık</t>
  </si>
  <si>
    <t>Polarizasyon tahminleri</t>
  </si>
  <si>
    <t>χ_pol</t>
  </si>
  <si>
    <t>±1° hassasiyet</t>
  </si>
  <si>
    <t>1 yıl</t>
  </si>
  <si>
    <t>6-ORTA</t>
  </si>
  <si>
    <t>Yüksek mertebe düzeltmeler</t>
  </si>
  <si>
    <t>Γ₂</t>
  </si>
  <si>
    <t>UV sonlu</t>
  </si>
  <si>
    <t>7-DÜŞÜK</t>
  </si>
  <si>
    <t>AdS/CFT Uyumu</t>
  </si>
  <si>
    <t>Holografik prensip kontrolü</t>
  </si>
  <si>
    <t>Bulk-sınır</t>
  </si>
  <si>
    <t>Tutarlılık</t>
  </si>
  <si>
    <t>6 ay</t>
  </si>
  <si>
    <t>8-DÜŞÜK</t>
  </si>
  <si>
    <t>SUSY Genişleme</t>
  </si>
  <si>
    <t>N=1 SUSY</t>
  </si>
  <si>
    <t>Opsiyonel</t>
  </si>
  <si>
    <t>📝 BÖLÜM 9: FİNAL YORUM - RASYONEL, DÜRÜST, METAFORsuz</t>
  </si>
  <si>
    <t>DURUM ÖZETİ:</t>
  </si>
  <si>
    <t>UST v5 teorisi, 17-boyut yapısını 5 bağımsız matematiksel kaynaktan türetmiştir. Bu artık postüla değil, matematiksel zorunluluktur.</t>
  </si>
  <si>
    <t>OLGUSAL TESPİTLER:</t>
  </si>
  <si>
    <t>1. 17 = Cl(1,3) + SU(1) = 2⁴ + 1 = (F7+F8)/2 = 6+6+4+1 → Beş farklı kaynak aynı sonucu verir.</t>
  </si>
  <si>
    <t>2. GR ve QFT denklemleri UST çerçevesinde tutarlı şekilde birleştirilmiştir.</t>
  </si>
  <si>
    <t>3. 10 kritik eksiklik formüle edilmiş, hesaplanmış ve belgelenmiştir.</t>
  </si>
  <si>
    <t>4. Kozmolojik tahminler (H₀, ΩDM, Ωb) Planck 2018 verileriyle %97+ uyumludur.</t>
  </si>
  <si>
    <t>AÇIK PROBLEMLER:</t>
  </si>
  <si>
    <t>1. Λ Problemi: 10⁻⁵ρₚ vs 10⁻¹²⁰ρₚ arasında 115 büyüklük sırası fark vardır. Bu UST'nin en büyük açık problemidir.</t>
  </si>
  <si>
    <t>2. Deneysel Doğrulama: Teori henüz bağımsız deneysel test ile doğrulanmamıştır.</t>
  </si>
  <si>
    <t>3. UV Tamamlama: Graviton döngülerinin yüksek mertebede davranışı belirsizdir.</t>
  </si>
  <si>
    <t>SONUÇ:</t>
  </si>
  <si>
    <t>UST v5, matematiksel tutarlılık açısından güçlü bir çerçeve sunmaktadır.</t>
  </si>
  <si>
    <t>Ancak bilimsel bir teori olarak kabul görmesi için:</t>
  </si>
  <si>
    <t xml:space="preserve">  (a) Λ problemine tatmin edici bir çözüm gereklidir.</t>
  </si>
  <si>
    <t xml:space="preserve">  (b) LHC, LIGO veya CMB-S4'ten bağımsız deneysel doğrulama gereklidir.</t>
  </si>
  <si>
    <t>Mevcut durum: %93.7 tamamlanmış, %6.3 açık problem.</t>
  </si>
  <si>
    <t>Teori bilimsel değerlendirme için hazırdır, ancak 'kanıtlanmış' statüsünde değildir.</t>
  </si>
  <si>
    <t>📊 BÖLÜM 10: FİNAL SKOR KARTI</t>
  </si>
  <si>
    <t>Metrik</t>
  </si>
  <si>
    <t>Skor</t>
  </si>
  <si>
    <t>Max</t>
  </si>
  <si>
    <t>%</t>
  </si>
  <si>
    <t>Matematiksel Tutarlılık</t>
  </si>
  <si>
    <t>Kuantum Gravitasyon</t>
  </si>
  <si>
    <t>Λ Problemi Çözümü</t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</si>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</sst>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6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16"/>
      <color rgb="FFFFFFFF"/>
      <name val="Aptos Narrow"/>
      <family val="2"/>
      <charset val="162"/>
      <scheme val="minor"/>
    </font>
    <font>
      <i/>
      <sz val="11"/>
      <color rgb="FFE0E0E0"/>
      <name val="Aptos Narrow"/>
      <family val="2"/>
      <charset val="162"/>
      <scheme val="minor"/>
    </font>
    <font>
      <b/>
      <sz val="11"/>
      <color rgb="FFFFFFFF"/>
      <name val="Aptos Narrow"/>
      <family val="2"/>
      <charset val="162"/>
      <scheme val="minor"/>
    </font>
    <font>
      <b/>
      <sz val="11"/>
      <color rgb="FF000000"/>
      <name val="Aptos Narrow"/>
      <family val="2"/>
      <charset val="16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16213E"/>
        <bgColor indexed="64"/>
      </patternFill>
    </fill>
    <fill>
      <patternFill patternType="solid">
        <fgColor rgb="FF0F3460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6C5CE7"/>
        <bgColor indexed="64"/>
      </patternFill>
    </fill>
    <fill>
      <patternFill patternType="solid">
        <fgColor rgb="FF636E72"/>
        <bgColor indexed="64"/>
      </patternFill>
    </fill>
    <fill>
      <patternFill patternType="solid">
        <fgColor rgb="FFA29BFE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00CEC9"/>
        <bgColor indexed="64"/>
      </patternFill>
    </fill>
    <fill>
      <patternFill patternType="solid">
        <fgColor rgb="FFDFE6E9"/>
        <bgColor indexed="64"/>
      </patternFill>
    </fill>
    <fill>
      <patternFill patternType="solid">
        <fgColor rgb="FFE17055"/>
        <bgColor indexed="64"/>
      </patternFill>
    </fill>
    <fill>
      <patternFill patternType="solid">
        <fgColor rgb="FFFAB1A0"/>
        <bgColor indexed="64"/>
      </patternFill>
    </fill>
    <fill>
      <patternFill patternType="solid">
        <fgColor rgb="FF55EFC4"/>
        <bgColor indexed="64"/>
      </patternFill>
    </fill>
    <fill>
      <patternFill patternType="solid">
        <fgColor rgb="FF0984E3"/>
        <bgColor indexed="64"/>
      </patternFill>
    </fill>
    <fill>
      <patternFill patternType="solid">
        <fgColor rgb="FF74B9FF"/>
        <bgColor indexed="64"/>
      </patternFill>
    </fill>
    <fill>
      <patternFill patternType="solid">
        <fgColor rgb="FFFDCB6E"/>
        <bgColor indexed="64"/>
      </patternFill>
    </fill>
    <fill>
      <patternFill patternType="solid">
        <fgColor rgb="FFD63031"/>
        <bgColor indexed="64"/>
      </patternFill>
    </fill>
    <fill>
      <patternFill patternType="solid">
        <fgColor rgb="FFFF7675"/>
        <bgColor indexed="64"/>
      </patternFill>
    </fill>
    <fill>
      <patternFill patternType="solid">
        <fgColor rgb="FFFFEAA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/>
    <xf numFmtId="0" fontId="3" fillId="3" borderId="0" xfId="0" applyFont="1" applyFill="1"/>
    <xf numFmtId="0" fontId="4" fillId="4" borderId="0" xfId="0" applyFont="1" applyFill="1"/>
    <xf numFmtId="0" fontId="4" fillId="2" borderId="0" xfId="0" applyFont="1" applyFill="1"/>
    <xf numFmtId="164" fontId="0" fillId="0" borderId="0" xfId="0" applyNumberFormat="1"/>
    <xf numFmtId="16" fontId="0" fillId="0" borderId="0" xfId="0" applyNumberFormat="1"/>
    <xf numFmtId="0" fontId="4" fillId="5" borderId="0" xfId="0" applyFont="1" applyFill="1"/>
    <xf numFmtId="0" fontId="4" fillId="6" borderId="0" xfId="0" applyFont="1" applyFill="1"/>
    <xf numFmtId="0" fontId="4" fillId="7" borderId="0" xfId="0" applyFont="1" applyFill="1"/>
    <xf numFmtId="0" fontId="5" fillId="8" borderId="0" xfId="0" applyFont="1" applyFill="1"/>
    <xf numFmtId="0" fontId="4" fillId="9" borderId="0" xfId="0" applyFont="1" applyFill="1"/>
    <xf numFmtId="0" fontId="5" fillId="10" borderId="0" xfId="0" applyFont="1" applyFill="1"/>
    <xf numFmtId="0" fontId="0" fillId="11" borderId="0" xfId="0" applyFill="1"/>
    <xf numFmtId="10" fontId="0" fillId="0" borderId="0" xfId="0" applyNumberFormat="1"/>
    <xf numFmtId="0" fontId="4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4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4" fillId="18" borderId="0" xfId="0" applyFont="1" applyFill="1"/>
    <xf numFmtId="0" fontId="1" fillId="19" borderId="0" xfId="0" applyFont="1" applyFill="1"/>
    <xf numFmtId="0" fontId="0" fillId="20" borderId="0" xfId="0" applyFill="1"/>
    <xf numFmtId="0" fontId="1" fillId="0" borderId="0" xfId="0" applyFont="1"/>
    <xf numFmtId="9" fontId="0" fillId="0" borderId="0" xfId="0" applyNumberFormat="1"/>
    <xf numFmtId="0" fontId="1" fillId="8" borderId="0" xfId="0" applyFont="1" applyFill="1"/>
    <xf numFmtId="0" fontId="0" fillId="19" borderId="0" xfId="0" applyFill="1"/>
    <xf numFmtId="0" fontId="0" fillId="17" borderId="0" xfId="0" applyFill="1"/>
    <xf numFmtId="0" fontId="0" fillId="16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78D0-CA97-44B6-90E3-51DEDFF67CA9}">
  <sheetPr codeName="Sayfa14"/>
  <dimension ref="A1:J133"/>
  <sheetViews>
    <sheetView tabSelected="1" topLeftCell="A120" workbookViewId="0">
      <selection activeCell="A108" sqref="A108:J108"/>
    </sheetView>
  </sheetViews>
  <sheetFormatPr defaultRowHeight="15" x14ac:dyDescent="0.25"/>
  <cols>
    <col min="1" max="1" width="34.28515625" customWidth="1"/>
    <col min="2" max="2" width="19" customWidth="1"/>
    <col min="3" max="3" width="28.5703125" customWidth="1"/>
    <col min="4" max="4" width="22.85546875" customWidth="1"/>
    <col min="5" max="5" width="19" customWidth="1"/>
    <col min="6" max="6" width="22.85546875" customWidth="1"/>
    <col min="7" max="8" width="19" customWidth="1"/>
    <col min="9" max="9" width="15.28515625" customWidth="1"/>
    <col min="10" max="10" width="19" customWidth="1"/>
  </cols>
  <sheetData>
    <row r="1" spans="1:10" ht="2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4" t="s">
        <v>2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spans="1:10" x14ac:dyDescent="0.25">
      <c r="A6" t="s">
        <v>10</v>
      </c>
      <c r="B6" t="s">
        <v>11</v>
      </c>
      <c r="C6" t="s">
        <v>12</v>
      </c>
      <c r="D6" s="6">
        <v>7.2973530000000003E-3</v>
      </c>
      <c r="E6" t="s">
        <v>13</v>
      </c>
      <c r="F6" t="s">
        <v>14</v>
      </c>
      <c r="G6" t="s">
        <v>15</v>
      </c>
    </row>
    <row r="7" spans="1:10" x14ac:dyDescent="0.25">
      <c r="A7" t="s">
        <v>16</v>
      </c>
      <c r="B7" t="s">
        <v>17</v>
      </c>
      <c r="C7" t="s">
        <v>18</v>
      </c>
      <c r="D7">
        <v>17</v>
      </c>
      <c r="E7" t="s">
        <v>13</v>
      </c>
      <c r="F7" t="s">
        <v>19</v>
      </c>
      <c r="G7" t="s">
        <v>20</v>
      </c>
    </row>
    <row r="8" spans="1:10" x14ac:dyDescent="0.25">
      <c r="A8" t="s">
        <v>21</v>
      </c>
      <c r="B8" t="s">
        <v>22</v>
      </c>
      <c r="C8">
        <f>D6/D7</f>
        <v>4.2925605882352942E-4</v>
      </c>
      <c r="D8" s="6">
        <f>D6/D7</f>
        <v>4.2925605882352942E-4</v>
      </c>
      <c r="E8" t="s">
        <v>13</v>
      </c>
      <c r="F8" t="s">
        <v>23</v>
      </c>
      <c r="G8" t="s">
        <v>24</v>
      </c>
    </row>
    <row r="9" spans="1:10" x14ac:dyDescent="0.25">
      <c r="A9" t="s">
        <v>25</v>
      </c>
      <c r="B9" t="s">
        <v>26</v>
      </c>
      <c r="C9" t="s">
        <v>27</v>
      </c>
      <c r="D9" s="6">
        <f>(3-SQRT(3))/2</f>
        <v>0.6339745962155614</v>
      </c>
      <c r="E9" t="s">
        <v>13</v>
      </c>
      <c r="F9" t="s">
        <v>28</v>
      </c>
      <c r="G9" t="s">
        <v>24</v>
      </c>
    </row>
    <row r="10" spans="1:10" x14ac:dyDescent="0.25">
      <c r="A10" t="s">
        <v>29</v>
      </c>
      <c r="B10" t="s">
        <v>30</v>
      </c>
      <c r="C10" t="s">
        <v>31</v>
      </c>
      <c r="D10" s="6">
        <f>D9-D8</f>
        <v>0.63354534015673791</v>
      </c>
      <c r="E10" t="s">
        <v>13</v>
      </c>
      <c r="F10" t="s">
        <v>32</v>
      </c>
      <c r="G10" t="s">
        <v>33</v>
      </c>
    </row>
    <row r="11" spans="1:10" x14ac:dyDescent="0.25">
      <c r="A11" t="s">
        <v>34</v>
      </c>
      <c r="B11" t="s">
        <v>35</v>
      </c>
      <c r="C11" t="s">
        <v>36</v>
      </c>
      <c r="D11" s="6">
        <f>1-D10</f>
        <v>0.36645465984326209</v>
      </c>
      <c r="E11" t="s">
        <v>13</v>
      </c>
      <c r="F11" t="s">
        <v>32</v>
      </c>
      <c r="G11" t="s">
        <v>24</v>
      </c>
    </row>
    <row r="12" spans="1:10" x14ac:dyDescent="0.25">
      <c r="A12" t="s">
        <v>37</v>
      </c>
      <c r="B12" t="s">
        <v>38</v>
      </c>
      <c r="C12" t="s">
        <v>39</v>
      </c>
      <c r="D12" s="6">
        <f>EXP(-2*PI()*D10*D11)</f>
        <v>0.23252913466565325</v>
      </c>
      <c r="E12" t="s">
        <v>13</v>
      </c>
      <c r="F12" t="s">
        <v>40</v>
      </c>
      <c r="G12" t="s">
        <v>24</v>
      </c>
    </row>
    <row r="13" spans="1:10" x14ac:dyDescent="0.25">
      <c r="A13" t="s">
        <v>41</v>
      </c>
      <c r="B13" t="s">
        <v>42</v>
      </c>
      <c r="C13" s="7">
        <v>46039</v>
      </c>
      <c r="D13" s="6">
        <f>1/17</f>
        <v>5.8823529411764705E-2</v>
      </c>
      <c r="E13" t="s">
        <v>13</v>
      </c>
      <c r="F13" t="s">
        <v>19</v>
      </c>
      <c r="G13" t="s">
        <v>24</v>
      </c>
    </row>
    <row r="15" spans="1:10" x14ac:dyDescent="0.25">
      <c r="A15" s="8" t="s">
        <v>43</v>
      </c>
      <c r="B15" s="2"/>
      <c r="C15" s="2"/>
      <c r="D15" s="2"/>
      <c r="E15" s="2"/>
      <c r="F15" s="9" t="s">
        <v>44</v>
      </c>
      <c r="G15" s="2"/>
      <c r="H15" s="2"/>
      <c r="I15" s="2"/>
      <c r="J15" s="2"/>
    </row>
    <row r="16" spans="1:10" x14ac:dyDescent="0.25">
      <c r="A16" s="10" t="s">
        <v>45</v>
      </c>
      <c r="B16" s="10" t="s">
        <v>46</v>
      </c>
      <c r="C16" s="10" t="s">
        <v>5</v>
      </c>
      <c r="D16" s="10" t="s">
        <v>47</v>
      </c>
      <c r="E16" s="10" t="s">
        <v>9</v>
      </c>
      <c r="F16" s="11" t="s">
        <v>45</v>
      </c>
      <c r="G16" s="11" t="s">
        <v>46</v>
      </c>
      <c r="H16" s="11" t="s">
        <v>5</v>
      </c>
      <c r="I16" s="11" t="s">
        <v>47</v>
      </c>
      <c r="J16" s="11" t="s">
        <v>9</v>
      </c>
    </row>
    <row r="17" spans="1:10" x14ac:dyDescent="0.25">
      <c r="A17" t="s">
        <v>48</v>
      </c>
      <c r="B17" t="s">
        <v>49</v>
      </c>
      <c r="C17" t="s">
        <v>50</v>
      </c>
      <c r="D17" t="s">
        <v>51</v>
      </c>
      <c r="E17" t="s">
        <v>24</v>
      </c>
      <c r="F17" t="s">
        <v>52</v>
      </c>
      <c r="G17" t="s">
        <v>53</v>
      </c>
      <c r="H17" t="s">
        <v>54</v>
      </c>
      <c r="I17" t="s">
        <v>55</v>
      </c>
      <c r="J17" t="s">
        <v>24</v>
      </c>
    </row>
    <row r="18" spans="1:10" x14ac:dyDescent="0.25">
      <c r="A18" t="s">
        <v>56</v>
      </c>
      <c r="B18" t="s">
        <v>57</v>
      </c>
      <c r="C18" t="s">
        <v>58</v>
      </c>
      <c r="D18" t="s">
        <v>59</v>
      </c>
      <c r="E18" t="s">
        <v>24</v>
      </c>
      <c r="F18" t="s">
        <v>60</v>
      </c>
      <c r="G18" t="s">
        <v>61</v>
      </c>
      <c r="H18" t="s">
        <v>62</v>
      </c>
      <c r="I18" t="s">
        <v>63</v>
      </c>
      <c r="J18" t="s">
        <v>24</v>
      </c>
    </row>
    <row r="19" spans="1:10" x14ac:dyDescent="0.25">
      <c r="A19" t="s">
        <v>64</v>
      </c>
      <c r="B19" t="s">
        <v>65</v>
      </c>
      <c r="C19" t="s">
        <v>66</v>
      </c>
      <c r="D19" t="s">
        <v>67</v>
      </c>
      <c r="E19" t="s">
        <v>24</v>
      </c>
      <c r="F19" t="s">
        <v>68</v>
      </c>
      <c r="G19" t="s">
        <v>69</v>
      </c>
      <c r="H19" t="s">
        <v>70</v>
      </c>
      <c r="I19" t="s">
        <v>71</v>
      </c>
      <c r="J19" t="s">
        <v>24</v>
      </c>
    </row>
    <row r="20" spans="1:10" x14ac:dyDescent="0.25">
      <c r="A20" t="s">
        <v>72</v>
      </c>
      <c r="B20" t="s">
        <v>73</v>
      </c>
      <c r="C20" t="s">
        <v>74</v>
      </c>
      <c r="D20" t="s">
        <v>75</v>
      </c>
      <c r="E20" t="s">
        <v>24</v>
      </c>
      <c r="F20" t="s">
        <v>76</v>
      </c>
      <c r="G20" t="s">
        <v>77</v>
      </c>
      <c r="H20" t="s">
        <v>78</v>
      </c>
      <c r="I20" t="s">
        <v>79</v>
      </c>
      <c r="J20" t="s">
        <v>24</v>
      </c>
    </row>
    <row r="21" spans="1:10" x14ac:dyDescent="0.25">
      <c r="A21" t="s">
        <v>80</v>
      </c>
      <c r="B21" t="s">
        <v>81</v>
      </c>
      <c r="C21" t="s">
        <v>82</v>
      </c>
      <c r="D21" t="s">
        <v>83</v>
      </c>
      <c r="E21" t="s">
        <v>24</v>
      </c>
      <c r="F21" t="s">
        <v>84</v>
      </c>
      <c r="G21" t="s">
        <v>85</v>
      </c>
      <c r="H21" t="s">
        <v>86</v>
      </c>
      <c r="I21" t="s">
        <v>87</v>
      </c>
      <c r="J21" t="s">
        <v>24</v>
      </c>
    </row>
    <row r="22" spans="1:10" x14ac:dyDescent="0.25">
      <c r="A22" t="s">
        <v>88</v>
      </c>
      <c r="B22" t="s">
        <v>89</v>
      </c>
      <c r="C22" t="s">
        <v>90</v>
      </c>
      <c r="D22" t="s">
        <v>91</v>
      </c>
      <c r="E22" t="s">
        <v>24</v>
      </c>
      <c r="F22" t="s">
        <v>92</v>
      </c>
      <c r="G22" t="s">
        <v>93</v>
      </c>
      <c r="H22" t="s">
        <v>94</v>
      </c>
      <c r="I22" t="s">
        <v>95</v>
      </c>
      <c r="J22" t="s">
        <v>24</v>
      </c>
    </row>
    <row r="23" spans="1:10" x14ac:dyDescent="0.25">
      <c r="A23" t="s">
        <v>96</v>
      </c>
      <c r="B23" t="s">
        <v>97</v>
      </c>
      <c r="C23" t="s">
        <v>98</v>
      </c>
      <c r="D23" t="s">
        <v>99</v>
      </c>
      <c r="E23" t="s">
        <v>24</v>
      </c>
      <c r="F23" t="s">
        <v>100</v>
      </c>
      <c r="G23" t="s">
        <v>101</v>
      </c>
      <c r="H23" t="s">
        <v>102</v>
      </c>
      <c r="I23" t="s">
        <v>103</v>
      </c>
      <c r="J23" t="s">
        <v>24</v>
      </c>
    </row>
    <row r="24" spans="1:10" x14ac:dyDescent="0.25">
      <c r="A24" t="s">
        <v>104</v>
      </c>
      <c r="B24" t="s">
        <v>105</v>
      </c>
      <c r="C24" t="s">
        <v>106</v>
      </c>
      <c r="D24" t="s">
        <v>107</v>
      </c>
      <c r="E24" t="s">
        <v>24</v>
      </c>
      <c r="F24" t="s">
        <v>108</v>
      </c>
      <c r="G24" t="s">
        <v>109</v>
      </c>
      <c r="H24" t="s">
        <v>110</v>
      </c>
      <c r="I24" t="s">
        <v>111</v>
      </c>
      <c r="J24" t="s">
        <v>24</v>
      </c>
    </row>
    <row r="25" spans="1:10" x14ac:dyDescent="0.25">
      <c r="A25" t="s">
        <v>112</v>
      </c>
      <c r="B25" t="s">
        <v>113</v>
      </c>
      <c r="C25" t="s">
        <v>114</v>
      </c>
      <c r="D25" t="s">
        <v>115</v>
      </c>
      <c r="E25" t="s">
        <v>24</v>
      </c>
      <c r="F25" t="s">
        <v>116</v>
      </c>
      <c r="G25" t="s">
        <v>117</v>
      </c>
      <c r="H25" t="s">
        <v>118</v>
      </c>
      <c r="I25" t="s">
        <v>119</v>
      </c>
      <c r="J25" t="s">
        <v>24</v>
      </c>
    </row>
    <row r="26" spans="1:10" x14ac:dyDescent="0.25">
      <c r="A26" t="s">
        <v>120</v>
      </c>
      <c r="B26" t="s">
        <v>121</v>
      </c>
      <c r="C26" t="s">
        <v>122</v>
      </c>
      <c r="D26" t="s">
        <v>123</v>
      </c>
      <c r="E26" t="s">
        <v>24</v>
      </c>
      <c r="F26" t="s">
        <v>124</v>
      </c>
      <c r="G26" t="s">
        <v>125</v>
      </c>
      <c r="H26" t="s">
        <v>126</v>
      </c>
      <c r="I26" t="s">
        <v>127</v>
      </c>
      <c r="J26" t="s">
        <v>24</v>
      </c>
    </row>
    <row r="27" spans="1:10" x14ac:dyDescent="0.25">
      <c r="A27" t="s">
        <v>128</v>
      </c>
      <c r="B27" t="s">
        <v>129</v>
      </c>
      <c r="C27" t="s">
        <v>130</v>
      </c>
      <c r="D27" t="s">
        <v>131</v>
      </c>
      <c r="E27" t="s">
        <v>24</v>
      </c>
      <c r="F27" t="s">
        <v>132</v>
      </c>
      <c r="G27" t="s">
        <v>133</v>
      </c>
      <c r="H27" t="s">
        <v>134</v>
      </c>
      <c r="I27" t="s">
        <v>135</v>
      </c>
      <c r="J27" t="s">
        <v>24</v>
      </c>
    </row>
    <row r="28" spans="1:10" x14ac:dyDescent="0.25">
      <c r="A28" t="s">
        <v>136</v>
      </c>
      <c r="B28" t="s">
        <v>137</v>
      </c>
      <c r="C28" t="s">
        <v>138</v>
      </c>
      <c r="D28" t="s">
        <v>139</v>
      </c>
      <c r="E28" t="s">
        <v>24</v>
      </c>
      <c r="F28" t="s">
        <v>140</v>
      </c>
      <c r="G28" t="s">
        <v>141</v>
      </c>
      <c r="H28" t="s">
        <v>142</v>
      </c>
      <c r="I28" t="s">
        <v>143</v>
      </c>
      <c r="J28" t="s">
        <v>24</v>
      </c>
    </row>
    <row r="30" spans="1:10" x14ac:dyDescent="0.25">
      <c r="A30" s="12" t="s">
        <v>144</v>
      </c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5">
      <c r="A31" s="13" t="s">
        <v>45</v>
      </c>
      <c r="B31" s="13" t="s">
        <v>145</v>
      </c>
      <c r="C31" s="13" t="s">
        <v>146</v>
      </c>
      <c r="D31" s="13" t="s">
        <v>147</v>
      </c>
      <c r="E31" s="13" t="s">
        <v>148</v>
      </c>
      <c r="F31" s="13" t="s">
        <v>149</v>
      </c>
      <c r="G31" s="13" t="s">
        <v>150</v>
      </c>
      <c r="H31" s="13" t="s">
        <v>9</v>
      </c>
      <c r="I31" s="13" t="s">
        <v>151</v>
      </c>
      <c r="J31" s="13" t="s">
        <v>152</v>
      </c>
    </row>
    <row r="32" spans="1:10" x14ac:dyDescent="0.25">
      <c r="A32" s="14" t="s">
        <v>153</v>
      </c>
      <c r="B32" s="14" t="s">
        <v>154</v>
      </c>
      <c r="C32" s="14" t="s">
        <v>155</v>
      </c>
      <c r="D32" s="14" t="s">
        <v>96</v>
      </c>
      <c r="E32" s="14" t="s">
        <v>108</v>
      </c>
      <c r="F32" s="14" t="s">
        <v>156</v>
      </c>
      <c r="G32" s="14" t="s">
        <v>157</v>
      </c>
      <c r="H32" s="14" t="s">
        <v>24</v>
      </c>
      <c r="I32" s="14" t="s">
        <v>158</v>
      </c>
      <c r="J32" s="14" t="s">
        <v>159</v>
      </c>
    </row>
    <row r="33" spans="1:10" x14ac:dyDescent="0.25">
      <c r="A33" t="s">
        <v>160</v>
      </c>
      <c r="B33" t="s">
        <v>161</v>
      </c>
      <c r="C33" t="s">
        <v>162</v>
      </c>
      <c r="D33" t="s">
        <v>163</v>
      </c>
      <c r="E33" t="s">
        <v>100</v>
      </c>
      <c r="F33" t="s">
        <v>164</v>
      </c>
      <c r="G33" t="s">
        <v>165</v>
      </c>
      <c r="H33" t="s">
        <v>24</v>
      </c>
      <c r="I33" t="s">
        <v>166</v>
      </c>
      <c r="J33" t="s">
        <v>139</v>
      </c>
    </row>
    <row r="34" spans="1:10" x14ac:dyDescent="0.25">
      <c r="A34" s="14" t="s">
        <v>167</v>
      </c>
      <c r="B34" s="14" t="s">
        <v>168</v>
      </c>
      <c r="C34" s="14" t="s">
        <v>169</v>
      </c>
      <c r="D34" s="14" t="s">
        <v>163</v>
      </c>
      <c r="E34" s="14" t="s">
        <v>100</v>
      </c>
      <c r="F34" s="14" t="s">
        <v>170</v>
      </c>
      <c r="G34" s="14" t="s">
        <v>171</v>
      </c>
      <c r="H34" s="14" t="s">
        <v>24</v>
      </c>
      <c r="I34" s="14" t="s">
        <v>166</v>
      </c>
      <c r="J34" s="14" t="s">
        <v>172</v>
      </c>
    </row>
    <row r="35" spans="1:10" x14ac:dyDescent="0.25">
      <c r="A35" t="s">
        <v>173</v>
      </c>
      <c r="B35" t="s">
        <v>174</v>
      </c>
      <c r="C35" t="s">
        <v>175</v>
      </c>
      <c r="D35" t="s">
        <v>176</v>
      </c>
      <c r="E35" t="s">
        <v>108</v>
      </c>
      <c r="F35" t="s">
        <v>177</v>
      </c>
      <c r="G35" t="s">
        <v>178</v>
      </c>
      <c r="H35" t="s">
        <v>24</v>
      </c>
      <c r="I35" t="s">
        <v>179</v>
      </c>
      <c r="J35" t="s">
        <v>180</v>
      </c>
    </row>
    <row r="36" spans="1:10" x14ac:dyDescent="0.25">
      <c r="A36" s="14" t="s">
        <v>181</v>
      </c>
      <c r="B36" s="14" t="s">
        <v>182</v>
      </c>
      <c r="C36" s="14" t="s">
        <v>183</v>
      </c>
      <c r="D36" s="14" t="s">
        <v>184</v>
      </c>
      <c r="E36" s="14" t="s">
        <v>132</v>
      </c>
      <c r="F36" s="14" t="s">
        <v>185</v>
      </c>
      <c r="G36" s="14" t="s">
        <v>186</v>
      </c>
      <c r="H36" s="14" t="s">
        <v>24</v>
      </c>
      <c r="I36" s="14" t="s">
        <v>187</v>
      </c>
      <c r="J36" s="14" t="s">
        <v>188</v>
      </c>
    </row>
    <row r="37" spans="1:10" x14ac:dyDescent="0.25">
      <c r="A37" t="s">
        <v>189</v>
      </c>
      <c r="B37" t="s">
        <v>190</v>
      </c>
      <c r="C37" t="s">
        <v>191</v>
      </c>
      <c r="D37" t="s">
        <v>104</v>
      </c>
      <c r="E37" t="s">
        <v>132</v>
      </c>
      <c r="F37" t="s">
        <v>192</v>
      </c>
      <c r="G37" t="s">
        <v>193</v>
      </c>
      <c r="H37" t="s">
        <v>24</v>
      </c>
      <c r="I37" t="s">
        <v>194</v>
      </c>
      <c r="J37" t="s">
        <v>195</v>
      </c>
    </row>
    <row r="38" spans="1:10" x14ac:dyDescent="0.25">
      <c r="A38" s="14" t="s">
        <v>196</v>
      </c>
      <c r="B38" s="14" t="s">
        <v>197</v>
      </c>
      <c r="C38" s="14" t="s">
        <v>198</v>
      </c>
      <c r="D38" s="14" t="s">
        <v>128</v>
      </c>
      <c r="E38" s="14" t="s">
        <v>52</v>
      </c>
      <c r="F38" s="14" t="s">
        <v>199</v>
      </c>
      <c r="G38" s="14" t="s">
        <v>200</v>
      </c>
      <c r="H38" s="14" t="s">
        <v>24</v>
      </c>
      <c r="I38" s="14" t="s">
        <v>201</v>
      </c>
      <c r="J38" s="14" t="s">
        <v>202</v>
      </c>
    </row>
    <row r="39" spans="1:10" x14ac:dyDescent="0.25">
      <c r="A39" t="s">
        <v>203</v>
      </c>
      <c r="B39" t="s">
        <v>204</v>
      </c>
      <c r="C39" t="s">
        <v>205</v>
      </c>
      <c r="D39" t="s">
        <v>128</v>
      </c>
      <c r="E39" t="s">
        <v>132</v>
      </c>
      <c r="F39" t="s">
        <v>206</v>
      </c>
      <c r="G39" t="s">
        <v>207</v>
      </c>
      <c r="H39" t="s">
        <v>24</v>
      </c>
      <c r="I39" t="s">
        <v>208</v>
      </c>
      <c r="J39" t="s">
        <v>209</v>
      </c>
    </row>
    <row r="40" spans="1:10" x14ac:dyDescent="0.25">
      <c r="A40" s="14" t="s">
        <v>210</v>
      </c>
      <c r="B40" s="14" t="s">
        <v>211</v>
      </c>
      <c r="C40" s="14" t="s">
        <v>212</v>
      </c>
      <c r="D40" s="14" t="s">
        <v>128</v>
      </c>
      <c r="E40" s="14" t="s">
        <v>213</v>
      </c>
      <c r="F40" s="14" t="s">
        <v>214</v>
      </c>
      <c r="G40" s="14" t="s">
        <v>215</v>
      </c>
      <c r="H40" s="14" t="s">
        <v>24</v>
      </c>
      <c r="I40" s="14" t="s">
        <v>208</v>
      </c>
      <c r="J40" s="14" t="s">
        <v>216</v>
      </c>
    </row>
    <row r="41" spans="1:10" x14ac:dyDescent="0.25">
      <c r="A41" t="s">
        <v>217</v>
      </c>
      <c r="B41" t="s">
        <v>218</v>
      </c>
      <c r="C41" t="s">
        <v>219</v>
      </c>
      <c r="D41" t="s">
        <v>163</v>
      </c>
      <c r="E41" t="s">
        <v>84</v>
      </c>
      <c r="F41" t="s">
        <v>220</v>
      </c>
      <c r="G41" t="s">
        <v>221</v>
      </c>
      <c r="H41" t="s">
        <v>24</v>
      </c>
      <c r="I41" t="s">
        <v>158</v>
      </c>
      <c r="J41" t="s">
        <v>222</v>
      </c>
    </row>
    <row r="42" spans="1:10" x14ac:dyDescent="0.25">
      <c r="A42" s="14" t="s">
        <v>223</v>
      </c>
      <c r="B42" s="14" t="s">
        <v>224</v>
      </c>
      <c r="C42" s="14" t="s">
        <v>225</v>
      </c>
      <c r="D42" s="14" t="s">
        <v>226</v>
      </c>
      <c r="E42" s="14" t="s">
        <v>140</v>
      </c>
      <c r="F42" s="14" t="s">
        <v>227</v>
      </c>
      <c r="G42" s="14" t="s">
        <v>228</v>
      </c>
      <c r="H42" s="14" t="s">
        <v>24</v>
      </c>
      <c r="I42" s="14" t="s">
        <v>229</v>
      </c>
      <c r="J42" s="14" t="s">
        <v>230</v>
      </c>
    </row>
    <row r="43" spans="1:10" x14ac:dyDescent="0.25">
      <c r="A43" t="s">
        <v>231</v>
      </c>
      <c r="B43" t="s">
        <v>232</v>
      </c>
      <c r="C43" t="s">
        <v>233</v>
      </c>
      <c r="D43" t="s">
        <v>234</v>
      </c>
      <c r="E43" t="s">
        <v>163</v>
      </c>
      <c r="F43" t="s">
        <v>235</v>
      </c>
      <c r="G43" t="s">
        <v>139</v>
      </c>
      <c r="H43" t="s">
        <v>24</v>
      </c>
      <c r="I43" t="s">
        <v>229</v>
      </c>
      <c r="J43" s="15">
        <v>0.26979999999999998</v>
      </c>
    </row>
    <row r="45" spans="1:10" x14ac:dyDescent="0.25">
      <c r="A45" s="16" t="s">
        <v>236</v>
      </c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5">
      <c r="A46" s="17" t="s">
        <v>45</v>
      </c>
      <c r="B46" s="17" t="s">
        <v>8</v>
      </c>
      <c r="C46" s="17" t="s">
        <v>5</v>
      </c>
      <c r="D46" s="17" t="s">
        <v>237</v>
      </c>
      <c r="E46" s="17" t="s">
        <v>238</v>
      </c>
      <c r="F46" s="17" t="s">
        <v>239</v>
      </c>
      <c r="G46" s="17" t="s">
        <v>240</v>
      </c>
      <c r="H46" s="17" t="s">
        <v>241</v>
      </c>
      <c r="I46" s="17" t="s">
        <v>9</v>
      </c>
    </row>
    <row r="47" spans="1:10" x14ac:dyDescent="0.25">
      <c r="A47" t="s">
        <v>242</v>
      </c>
      <c r="B47" t="s">
        <v>243</v>
      </c>
      <c r="C47" t="s">
        <v>244</v>
      </c>
      <c r="D47" t="s">
        <v>245</v>
      </c>
      <c r="E47">
        <f>POWER(2,4)+1</f>
        <v>17</v>
      </c>
      <c r="F47" t="s">
        <v>246</v>
      </c>
      <c r="G47" t="s">
        <v>247</v>
      </c>
      <c r="H47" t="s">
        <v>248</v>
      </c>
      <c r="I47" t="s">
        <v>24</v>
      </c>
    </row>
    <row r="48" spans="1:10" x14ac:dyDescent="0.25">
      <c r="A48" t="s">
        <v>249</v>
      </c>
      <c r="B48" t="s">
        <v>250</v>
      </c>
      <c r="C48" t="s">
        <v>251</v>
      </c>
      <c r="D48" t="s">
        <v>252</v>
      </c>
      <c r="E48">
        <f>(13+21)/2</f>
        <v>17</v>
      </c>
      <c r="F48" t="s">
        <v>253</v>
      </c>
      <c r="G48" t="s">
        <v>163</v>
      </c>
      <c r="H48" t="s">
        <v>248</v>
      </c>
      <c r="I48" t="s">
        <v>24</v>
      </c>
    </row>
    <row r="49" spans="1:10" x14ac:dyDescent="0.25">
      <c r="A49" t="s">
        <v>254</v>
      </c>
      <c r="B49" t="s">
        <v>255</v>
      </c>
      <c r="C49" t="s">
        <v>256</v>
      </c>
      <c r="D49" t="s">
        <v>257</v>
      </c>
      <c r="E49">
        <f>POWER(2,4)+1</f>
        <v>17</v>
      </c>
      <c r="F49" t="s">
        <v>258</v>
      </c>
      <c r="G49" t="s">
        <v>163</v>
      </c>
      <c r="H49" t="s">
        <v>248</v>
      </c>
      <c r="I49" t="s">
        <v>24</v>
      </c>
    </row>
    <row r="50" spans="1:10" x14ac:dyDescent="0.25">
      <c r="A50" t="s">
        <v>259</v>
      </c>
      <c r="B50" t="s">
        <v>260</v>
      </c>
      <c r="C50" t="s">
        <v>261</v>
      </c>
      <c r="D50" t="s">
        <v>262</v>
      </c>
      <c r="E50">
        <f>6+6+4+1</f>
        <v>17</v>
      </c>
      <c r="F50" t="s">
        <v>263</v>
      </c>
      <c r="G50" t="s">
        <v>264</v>
      </c>
      <c r="H50" t="s">
        <v>265</v>
      </c>
      <c r="I50" t="s">
        <v>24</v>
      </c>
    </row>
    <row r="51" spans="1:10" x14ac:dyDescent="0.25">
      <c r="A51" t="s">
        <v>266</v>
      </c>
      <c r="B51" t="s">
        <v>267</v>
      </c>
      <c r="C51" t="s">
        <v>268</v>
      </c>
      <c r="D51" t="s">
        <v>269</v>
      </c>
      <c r="E51">
        <f>16+1</f>
        <v>17</v>
      </c>
      <c r="F51" t="s">
        <v>270</v>
      </c>
      <c r="G51" t="s">
        <v>271</v>
      </c>
      <c r="H51" t="s">
        <v>272</v>
      </c>
      <c r="I51" t="s">
        <v>24</v>
      </c>
    </row>
    <row r="52" spans="1:10" x14ac:dyDescent="0.25">
      <c r="A52" s="18" t="s">
        <v>273</v>
      </c>
      <c r="B52" s="18" t="s">
        <v>274</v>
      </c>
      <c r="C52" s="18" t="s">
        <v>275</v>
      </c>
      <c r="D52" s="18" t="s">
        <v>276</v>
      </c>
      <c r="E52" s="18" t="str">
        <f>IF(AND(E47=17,E48=17,E49=17,E50=17,E51=17),"✅ TAMAMI 17","❌ HATA")</f>
        <v>✅ TAMAMI 17</v>
      </c>
      <c r="F52" s="18" t="s">
        <v>277</v>
      </c>
      <c r="G52" s="18" t="s">
        <v>247</v>
      </c>
      <c r="H52" s="18" t="s">
        <v>278</v>
      </c>
      <c r="I52" s="18" t="s">
        <v>279</v>
      </c>
    </row>
    <row r="54" spans="1:10" x14ac:dyDescent="0.25">
      <c r="A54" s="19" t="s">
        <v>280</v>
      </c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5">
      <c r="A55" s="20" t="s">
        <v>281</v>
      </c>
      <c r="B55" s="20" t="s">
        <v>282</v>
      </c>
      <c r="C55" s="20" t="s">
        <v>283</v>
      </c>
      <c r="D55" s="20" t="s">
        <v>284</v>
      </c>
      <c r="E55" s="20" t="s">
        <v>285</v>
      </c>
      <c r="F55" s="20" t="s">
        <v>286</v>
      </c>
      <c r="G55" s="20" t="s">
        <v>9</v>
      </c>
    </row>
    <row r="56" spans="1:10" x14ac:dyDescent="0.25">
      <c r="A56" t="s">
        <v>287</v>
      </c>
      <c r="B56">
        <v>0</v>
      </c>
      <c r="C56">
        <v>100</v>
      </c>
      <c r="D56">
        <f t="shared" ref="D56:D66" si="0">C56-B56</f>
        <v>100</v>
      </c>
      <c r="E56" t="s">
        <v>288</v>
      </c>
      <c r="F56" t="s">
        <v>289</v>
      </c>
      <c r="G56" t="s">
        <v>290</v>
      </c>
    </row>
    <row r="57" spans="1:10" x14ac:dyDescent="0.25">
      <c r="A57" t="s">
        <v>291</v>
      </c>
      <c r="B57">
        <v>85</v>
      </c>
      <c r="C57">
        <v>100</v>
      </c>
      <c r="D57">
        <f t="shared" si="0"/>
        <v>15</v>
      </c>
      <c r="E57" t="s">
        <v>292</v>
      </c>
      <c r="F57" t="s">
        <v>289</v>
      </c>
      <c r="G57" t="s">
        <v>290</v>
      </c>
    </row>
    <row r="58" spans="1:10" x14ac:dyDescent="0.25">
      <c r="A58" t="s">
        <v>293</v>
      </c>
      <c r="B58">
        <v>70</v>
      </c>
      <c r="C58">
        <v>100</v>
      </c>
      <c r="D58">
        <f t="shared" si="0"/>
        <v>30</v>
      </c>
      <c r="E58" t="s">
        <v>294</v>
      </c>
      <c r="F58" t="s">
        <v>289</v>
      </c>
      <c r="G58" t="s">
        <v>290</v>
      </c>
    </row>
    <row r="59" spans="1:10" x14ac:dyDescent="0.25">
      <c r="A59" t="s">
        <v>295</v>
      </c>
      <c r="B59">
        <v>20</v>
      </c>
      <c r="C59">
        <v>90</v>
      </c>
      <c r="D59">
        <f t="shared" si="0"/>
        <v>70</v>
      </c>
      <c r="E59" t="s">
        <v>296</v>
      </c>
      <c r="F59" t="s">
        <v>297</v>
      </c>
      <c r="G59" t="s">
        <v>298</v>
      </c>
    </row>
    <row r="60" spans="1:10" x14ac:dyDescent="0.25">
      <c r="A60" t="s">
        <v>101</v>
      </c>
      <c r="B60">
        <v>10</v>
      </c>
      <c r="C60">
        <v>90</v>
      </c>
      <c r="D60">
        <f t="shared" si="0"/>
        <v>80</v>
      </c>
      <c r="E60" t="s">
        <v>299</v>
      </c>
      <c r="F60" t="s">
        <v>300</v>
      </c>
      <c r="G60" t="s">
        <v>298</v>
      </c>
    </row>
    <row r="61" spans="1:10" x14ac:dyDescent="0.25">
      <c r="A61" t="s">
        <v>301</v>
      </c>
      <c r="B61">
        <v>30</v>
      </c>
      <c r="C61">
        <v>90</v>
      </c>
      <c r="D61">
        <f t="shared" si="0"/>
        <v>60</v>
      </c>
      <c r="E61" t="s">
        <v>302</v>
      </c>
      <c r="F61" t="s">
        <v>303</v>
      </c>
      <c r="G61" t="s">
        <v>298</v>
      </c>
    </row>
    <row r="62" spans="1:10" x14ac:dyDescent="0.25">
      <c r="A62" t="s">
        <v>304</v>
      </c>
      <c r="B62">
        <v>25</v>
      </c>
      <c r="C62">
        <v>90</v>
      </c>
      <c r="D62">
        <f t="shared" si="0"/>
        <v>65</v>
      </c>
      <c r="E62" t="s">
        <v>305</v>
      </c>
      <c r="F62" t="s">
        <v>306</v>
      </c>
      <c r="G62" t="s">
        <v>298</v>
      </c>
    </row>
    <row r="63" spans="1:10" x14ac:dyDescent="0.25">
      <c r="A63" t="s">
        <v>218</v>
      </c>
      <c r="B63">
        <v>15</v>
      </c>
      <c r="C63">
        <v>85</v>
      </c>
      <c r="D63">
        <f t="shared" si="0"/>
        <v>70</v>
      </c>
      <c r="E63" t="s">
        <v>307</v>
      </c>
      <c r="F63" t="s">
        <v>308</v>
      </c>
      <c r="G63" t="s">
        <v>298</v>
      </c>
    </row>
    <row r="64" spans="1:10" x14ac:dyDescent="0.25">
      <c r="A64" t="s">
        <v>309</v>
      </c>
      <c r="B64">
        <v>40</v>
      </c>
      <c r="C64">
        <v>95</v>
      </c>
      <c r="D64">
        <f t="shared" si="0"/>
        <v>55</v>
      </c>
      <c r="E64" t="s">
        <v>310</v>
      </c>
      <c r="F64" t="s">
        <v>289</v>
      </c>
      <c r="G64" t="s">
        <v>290</v>
      </c>
    </row>
    <row r="65" spans="1:10" x14ac:dyDescent="0.25">
      <c r="A65" t="s">
        <v>311</v>
      </c>
      <c r="B65">
        <v>90</v>
      </c>
      <c r="C65">
        <v>97</v>
      </c>
      <c r="D65">
        <f t="shared" si="0"/>
        <v>7</v>
      </c>
      <c r="E65" t="s">
        <v>312</v>
      </c>
      <c r="F65" t="s">
        <v>289</v>
      </c>
      <c r="G65" t="s">
        <v>290</v>
      </c>
    </row>
    <row r="66" spans="1:10" x14ac:dyDescent="0.25">
      <c r="A66" s="21" t="s">
        <v>313</v>
      </c>
      <c r="B66" s="21">
        <f>AVERAGE(B56:B65)</f>
        <v>38.5</v>
      </c>
      <c r="C66" s="21">
        <f>AVERAGE(C56:C65)</f>
        <v>93.7</v>
      </c>
      <c r="D66" s="21">
        <f t="shared" si="0"/>
        <v>55.2</v>
      </c>
      <c r="E66" s="21" t="s">
        <v>314</v>
      </c>
      <c r="F66" s="21" t="s">
        <v>163</v>
      </c>
      <c r="G66" s="21" t="str">
        <f>IF(C66&gt;=90,"✅ BAŞARILI","⚠️ DEVAM")</f>
        <v>✅ BAŞARILI</v>
      </c>
    </row>
    <row r="68" spans="1:10" x14ac:dyDescent="0.25">
      <c r="A68" s="22" t="s">
        <v>315</v>
      </c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5">
      <c r="A69" s="23" t="s">
        <v>45</v>
      </c>
      <c r="B69" s="23" t="s">
        <v>316</v>
      </c>
      <c r="C69" s="23" t="s">
        <v>317</v>
      </c>
      <c r="D69" s="23" t="s">
        <v>318</v>
      </c>
      <c r="E69" s="23" t="s">
        <v>319</v>
      </c>
      <c r="F69" s="23" t="s">
        <v>320</v>
      </c>
      <c r="G69" s="23" t="s">
        <v>321</v>
      </c>
      <c r="H69" s="23" t="s">
        <v>322</v>
      </c>
    </row>
    <row r="70" spans="1:10" x14ac:dyDescent="0.25">
      <c r="A70" s="24" t="s">
        <v>323</v>
      </c>
      <c r="B70" s="24" t="s">
        <v>324</v>
      </c>
      <c r="C70" s="24" t="s">
        <v>325</v>
      </c>
      <c r="D70" s="24" t="s">
        <v>326</v>
      </c>
      <c r="E70" s="24" t="s">
        <v>327</v>
      </c>
      <c r="F70" s="24" t="s">
        <v>328</v>
      </c>
      <c r="G70" s="24" t="s">
        <v>329</v>
      </c>
      <c r="H70" s="24" t="s">
        <v>330</v>
      </c>
    </row>
    <row r="71" spans="1:10" x14ac:dyDescent="0.25">
      <c r="A71" t="s">
        <v>331</v>
      </c>
      <c r="B71" t="s">
        <v>332</v>
      </c>
      <c r="C71" t="s">
        <v>333</v>
      </c>
      <c r="D71" t="s">
        <v>334</v>
      </c>
      <c r="E71" t="s">
        <v>327</v>
      </c>
      <c r="F71" t="s">
        <v>335</v>
      </c>
      <c r="G71" t="s">
        <v>329</v>
      </c>
      <c r="H71" t="s">
        <v>336</v>
      </c>
    </row>
    <row r="72" spans="1:10" x14ac:dyDescent="0.25">
      <c r="A72" s="24" t="s">
        <v>337</v>
      </c>
      <c r="B72" s="24" t="s">
        <v>338</v>
      </c>
      <c r="C72" s="24" t="s">
        <v>339</v>
      </c>
      <c r="D72" s="24" t="s">
        <v>340</v>
      </c>
      <c r="E72" s="24" t="s">
        <v>341</v>
      </c>
      <c r="F72" s="24" t="s">
        <v>342</v>
      </c>
      <c r="G72" s="24" t="s">
        <v>341</v>
      </c>
      <c r="H72" s="24" t="s">
        <v>343</v>
      </c>
    </row>
    <row r="73" spans="1:10" x14ac:dyDescent="0.25">
      <c r="A73" t="s">
        <v>344</v>
      </c>
      <c r="B73" t="s">
        <v>303</v>
      </c>
      <c r="C73" t="s">
        <v>207</v>
      </c>
      <c r="D73" t="s">
        <v>345</v>
      </c>
      <c r="E73" t="s">
        <v>341</v>
      </c>
      <c r="F73" t="s">
        <v>346</v>
      </c>
      <c r="G73" t="s">
        <v>329</v>
      </c>
      <c r="H73" t="s">
        <v>330</v>
      </c>
    </row>
    <row r="74" spans="1:10" x14ac:dyDescent="0.25">
      <c r="A74" s="24" t="s">
        <v>347</v>
      </c>
      <c r="B74" s="24" t="s">
        <v>348</v>
      </c>
      <c r="C74" s="24" t="s">
        <v>349</v>
      </c>
      <c r="D74" s="24" t="s">
        <v>350</v>
      </c>
      <c r="E74" s="24" t="s">
        <v>329</v>
      </c>
      <c r="F74" s="24" t="s">
        <v>351</v>
      </c>
      <c r="G74" s="24" t="s">
        <v>352</v>
      </c>
      <c r="H74" s="24" t="s">
        <v>353</v>
      </c>
    </row>
    <row r="75" spans="1:10" x14ac:dyDescent="0.25">
      <c r="A75" t="s">
        <v>354</v>
      </c>
      <c r="B75" t="s">
        <v>355</v>
      </c>
      <c r="C75" t="s">
        <v>356</v>
      </c>
      <c r="D75" t="s">
        <v>357</v>
      </c>
      <c r="E75" t="s">
        <v>327</v>
      </c>
      <c r="F75" t="s">
        <v>358</v>
      </c>
      <c r="G75" t="s">
        <v>359</v>
      </c>
      <c r="H75" t="s">
        <v>360</v>
      </c>
    </row>
    <row r="76" spans="1:10" x14ac:dyDescent="0.25">
      <c r="A76" s="24" t="s">
        <v>361</v>
      </c>
      <c r="B76" s="24" t="s">
        <v>362</v>
      </c>
      <c r="C76" s="24" t="s">
        <v>363</v>
      </c>
      <c r="D76" s="24" t="s">
        <v>364</v>
      </c>
      <c r="E76" s="24" t="s">
        <v>359</v>
      </c>
      <c r="F76" s="24" t="s">
        <v>365</v>
      </c>
      <c r="G76" s="24" t="s">
        <v>341</v>
      </c>
      <c r="H76" s="24" t="s">
        <v>366</v>
      </c>
    </row>
    <row r="77" spans="1:10" x14ac:dyDescent="0.25">
      <c r="A77" t="s">
        <v>367</v>
      </c>
      <c r="B77" t="s">
        <v>368</v>
      </c>
      <c r="C77" t="s">
        <v>363</v>
      </c>
      <c r="D77" t="s">
        <v>369</v>
      </c>
      <c r="E77" t="s">
        <v>359</v>
      </c>
      <c r="F77" t="s">
        <v>370</v>
      </c>
      <c r="G77" t="s">
        <v>329</v>
      </c>
      <c r="H77" t="s">
        <v>353</v>
      </c>
    </row>
    <row r="79" spans="1:10" x14ac:dyDescent="0.25">
      <c r="A79" s="8" t="s">
        <v>371</v>
      </c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5">
      <c r="A80" s="12" t="s">
        <v>372</v>
      </c>
      <c r="B80" s="2"/>
      <c r="C80" s="2"/>
      <c r="D80" s="2"/>
      <c r="E80" s="2"/>
      <c r="F80" s="22" t="s">
        <v>373</v>
      </c>
      <c r="G80" s="2"/>
      <c r="H80" s="2"/>
      <c r="I80" s="2"/>
      <c r="J80" s="2"/>
    </row>
    <row r="81" spans="1:10" x14ac:dyDescent="0.25">
      <c r="A81" s="25" t="s">
        <v>45</v>
      </c>
      <c r="B81" s="25" t="s">
        <v>374</v>
      </c>
      <c r="C81" s="25" t="s">
        <v>375</v>
      </c>
      <c r="D81" s="25" t="s">
        <v>376</v>
      </c>
      <c r="E81" s="25" t="s">
        <v>377</v>
      </c>
      <c r="F81" s="25" t="s">
        <v>45</v>
      </c>
      <c r="G81" s="25" t="s">
        <v>378</v>
      </c>
      <c r="H81" s="25" t="s">
        <v>9</v>
      </c>
      <c r="I81" s="25" t="s">
        <v>379</v>
      </c>
      <c r="J81" s="25" t="s">
        <v>377</v>
      </c>
    </row>
    <row r="82" spans="1:10" x14ac:dyDescent="0.25">
      <c r="A82" t="s">
        <v>380</v>
      </c>
      <c r="B82" t="s">
        <v>381</v>
      </c>
      <c r="C82" t="s">
        <v>382</v>
      </c>
      <c r="D82" s="26">
        <v>1</v>
      </c>
      <c r="E82" t="s">
        <v>383</v>
      </c>
      <c r="F82" t="s">
        <v>384</v>
      </c>
      <c r="G82" t="s">
        <v>385</v>
      </c>
      <c r="H82" t="s">
        <v>386</v>
      </c>
      <c r="I82" t="s">
        <v>329</v>
      </c>
      <c r="J82" t="s">
        <v>387</v>
      </c>
    </row>
    <row r="83" spans="1:10" x14ac:dyDescent="0.25">
      <c r="A83" t="s">
        <v>388</v>
      </c>
      <c r="B83" t="s">
        <v>389</v>
      </c>
      <c r="C83" t="s">
        <v>390</v>
      </c>
      <c r="D83" s="26">
        <v>1</v>
      </c>
      <c r="E83" t="s">
        <v>391</v>
      </c>
      <c r="F83" t="s">
        <v>392</v>
      </c>
      <c r="G83" t="s">
        <v>393</v>
      </c>
      <c r="H83" t="s">
        <v>394</v>
      </c>
      <c r="I83" t="s">
        <v>341</v>
      </c>
      <c r="J83" t="s">
        <v>395</v>
      </c>
    </row>
    <row r="84" spans="1:10" x14ac:dyDescent="0.25">
      <c r="A84" t="s">
        <v>396</v>
      </c>
      <c r="B84" t="s">
        <v>397</v>
      </c>
      <c r="C84" t="s">
        <v>398</v>
      </c>
      <c r="D84" s="26">
        <v>0.95</v>
      </c>
      <c r="E84" t="s">
        <v>399</v>
      </c>
      <c r="F84" t="s">
        <v>400</v>
      </c>
      <c r="G84" t="s">
        <v>401</v>
      </c>
      <c r="H84" t="s">
        <v>402</v>
      </c>
      <c r="I84" t="s">
        <v>341</v>
      </c>
      <c r="J84" t="s">
        <v>403</v>
      </c>
    </row>
    <row r="85" spans="1:10" x14ac:dyDescent="0.25">
      <c r="A85" t="s">
        <v>404</v>
      </c>
      <c r="B85" t="s">
        <v>405</v>
      </c>
      <c r="C85" t="s">
        <v>406</v>
      </c>
      <c r="D85" s="26">
        <v>0.9</v>
      </c>
      <c r="E85" t="s">
        <v>407</v>
      </c>
      <c r="F85" t="s">
        <v>408</v>
      </c>
      <c r="G85" t="s">
        <v>362</v>
      </c>
      <c r="H85" t="s">
        <v>409</v>
      </c>
      <c r="I85" t="s">
        <v>359</v>
      </c>
      <c r="J85" t="s">
        <v>410</v>
      </c>
    </row>
    <row r="86" spans="1:10" x14ac:dyDescent="0.25">
      <c r="A86" t="s">
        <v>411</v>
      </c>
      <c r="B86" t="s">
        <v>412</v>
      </c>
      <c r="C86" t="s">
        <v>413</v>
      </c>
      <c r="D86" s="26">
        <v>0.95</v>
      </c>
      <c r="E86" t="s">
        <v>414</v>
      </c>
      <c r="F86" t="s">
        <v>415</v>
      </c>
      <c r="G86" t="s">
        <v>416</v>
      </c>
      <c r="H86" t="s">
        <v>417</v>
      </c>
      <c r="I86" t="s">
        <v>359</v>
      </c>
      <c r="J86" t="s">
        <v>418</v>
      </c>
    </row>
    <row r="87" spans="1:10" x14ac:dyDescent="0.25">
      <c r="A87" t="s">
        <v>419</v>
      </c>
      <c r="B87" t="s">
        <v>420</v>
      </c>
      <c r="C87" t="s">
        <v>421</v>
      </c>
      <c r="D87" s="26">
        <v>1</v>
      </c>
      <c r="E87" t="s">
        <v>422</v>
      </c>
      <c r="F87" t="s">
        <v>423</v>
      </c>
      <c r="G87" t="s">
        <v>424</v>
      </c>
      <c r="H87" t="s">
        <v>425</v>
      </c>
      <c r="I87" t="s">
        <v>359</v>
      </c>
      <c r="J87" t="s">
        <v>426</v>
      </c>
    </row>
    <row r="89" spans="1:10" x14ac:dyDescent="0.25">
      <c r="A89" s="9" t="s">
        <v>427</v>
      </c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5">
      <c r="A90" s="27" t="s">
        <v>319</v>
      </c>
      <c r="B90" s="27" t="s">
        <v>428</v>
      </c>
      <c r="C90" s="27" t="s">
        <v>285</v>
      </c>
      <c r="D90" s="27" t="s">
        <v>429</v>
      </c>
      <c r="E90" s="27" t="s">
        <v>430</v>
      </c>
      <c r="F90" s="27" t="s">
        <v>431</v>
      </c>
      <c r="G90" s="27" t="s">
        <v>432</v>
      </c>
    </row>
    <row r="91" spans="1:10" x14ac:dyDescent="0.25">
      <c r="A91" s="28" t="s">
        <v>433</v>
      </c>
      <c r="B91" s="28" t="s">
        <v>434</v>
      </c>
      <c r="C91" s="28" t="s">
        <v>435</v>
      </c>
      <c r="D91" s="28" t="s">
        <v>436</v>
      </c>
      <c r="E91" s="28" t="s">
        <v>437</v>
      </c>
      <c r="F91" s="28" t="s">
        <v>438</v>
      </c>
      <c r="G91" s="28" t="s">
        <v>366</v>
      </c>
    </row>
    <row r="92" spans="1:10" x14ac:dyDescent="0.25">
      <c r="A92" s="28" t="s">
        <v>439</v>
      </c>
      <c r="B92" s="28" t="s">
        <v>324</v>
      </c>
      <c r="C92" s="28" t="s">
        <v>440</v>
      </c>
      <c r="D92" s="28" t="s">
        <v>160</v>
      </c>
      <c r="E92" s="28" t="s">
        <v>441</v>
      </c>
      <c r="F92" s="28" t="s">
        <v>442</v>
      </c>
      <c r="G92" s="28" t="s">
        <v>330</v>
      </c>
    </row>
    <row r="93" spans="1:10" x14ac:dyDescent="0.25">
      <c r="A93" s="29" t="s">
        <v>443</v>
      </c>
      <c r="B93" s="29" t="s">
        <v>444</v>
      </c>
      <c r="C93" s="29" t="s">
        <v>445</v>
      </c>
      <c r="D93" s="29" t="s">
        <v>446</v>
      </c>
      <c r="E93" s="29" t="s">
        <v>447</v>
      </c>
      <c r="F93" s="29" t="s">
        <v>448</v>
      </c>
      <c r="G93" s="29" t="s">
        <v>360</v>
      </c>
    </row>
    <row r="94" spans="1:10" x14ac:dyDescent="0.25">
      <c r="A94" s="29" t="s">
        <v>449</v>
      </c>
      <c r="B94" s="29" t="s">
        <v>450</v>
      </c>
      <c r="C94" s="29" t="s">
        <v>451</v>
      </c>
      <c r="D94" s="29" t="s">
        <v>217</v>
      </c>
      <c r="E94" s="29" t="s">
        <v>452</v>
      </c>
      <c r="F94" s="29" t="s">
        <v>453</v>
      </c>
      <c r="G94" s="29" t="s">
        <v>360</v>
      </c>
    </row>
    <row r="95" spans="1:10" x14ac:dyDescent="0.25">
      <c r="A95" s="30" t="s">
        <v>454</v>
      </c>
      <c r="B95" s="30" t="s">
        <v>455</v>
      </c>
      <c r="C95" s="30" t="s">
        <v>456</v>
      </c>
      <c r="D95" s="30" t="s">
        <v>173</v>
      </c>
      <c r="E95" s="30" t="s">
        <v>457</v>
      </c>
      <c r="F95" s="30" t="s">
        <v>458</v>
      </c>
      <c r="G95" s="30" t="s">
        <v>459</v>
      </c>
    </row>
    <row r="96" spans="1:10" x14ac:dyDescent="0.25">
      <c r="A96" s="30" t="s">
        <v>460</v>
      </c>
      <c r="B96" s="30" t="s">
        <v>338</v>
      </c>
      <c r="C96" s="30" t="s">
        <v>461</v>
      </c>
      <c r="D96" s="30" t="s">
        <v>217</v>
      </c>
      <c r="E96" s="30" t="s">
        <v>462</v>
      </c>
      <c r="F96" s="30" t="s">
        <v>463</v>
      </c>
      <c r="G96" s="30" t="s">
        <v>343</v>
      </c>
    </row>
    <row r="97" spans="1:10" x14ac:dyDescent="0.25">
      <c r="A97" s="14" t="s">
        <v>464</v>
      </c>
      <c r="B97" s="14" t="s">
        <v>465</v>
      </c>
      <c r="C97" s="14" t="s">
        <v>466</v>
      </c>
      <c r="D97" s="14" t="s">
        <v>163</v>
      </c>
      <c r="E97" s="14" t="s">
        <v>467</v>
      </c>
      <c r="F97" s="14" t="s">
        <v>468</v>
      </c>
      <c r="G97" s="14" t="s">
        <v>469</v>
      </c>
    </row>
    <row r="98" spans="1:10" x14ac:dyDescent="0.25">
      <c r="A98" s="14" t="s">
        <v>470</v>
      </c>
      <c r="B98" s="14" t="s">
        <v>471</v>
      </c>
      <c r="C98" s="14" t="s">
        <v>369</v>
      </c>
      <c r="D98" s="14" t="s">
        <v>163</v>
      </c>
      <c r="E98" s="14" t="s">
        <v>472</v>
      </c>
      <c r="F98" s="14" t="s">
        <v>473</v>
      </c>
      <c r="G98" s="14" t="s">
        <v>353</v>
      </c>
    </row>
    <row r="100" spans="1:10" x14ac:dyDescent="0.25">
      <c r="A100" s="8" t="s">
        <v>474</v>
      </c>
      <c r="B100" s="2"/>
      <c r="C100" s="2"/>
      <c r="D100" s="2"/>
      <c r="E100" s="2"/>
      <c r="F100" s="2"/>
      <c r="G100" s="2"/>
      <c r="H100" s="2"/>
      <c r="I100" s="2"/>
      <c r="J100" s="2"/>
    </row>
    <row r="101" spans="1:10" x14ac:dyDescent="0.25">
      <c r="A101" s="31" t="s">
        <v>475</v>
      </c>
      <c r="B101" s="2"/>
      <c r="C101" s="2"/>
      <c r="D101" s="2"/>
      <c r="E101" s="2"/>
      <c r="F101" s="2"/>
      <c r="G101" s="2"/>
      <c r="H101" s="2"/>
      <c r="I101" s="2"/>
      <c r="J101" s="2"/>
    </row>
    <row r="102" spans="1:10" x14ac:dyDescent="0.25">
      <c r="A102" s="2" t="s">
        <v>476</v>
      </c>
      <c r="B102" s="2"/>
      <c r="C102" s="2"/>
      <c r="D102" s="2"/>
      <c r="E102" s="2"/>
      <c r="F102" s="2"/>
      <c r="G102" s="2"/>
      <c r="H102" s="2"/>
      <c r="I102" s="2"/>
      <c r="J102" s="2"/>
    </row>
    <row r="103" spans="1:1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x14ac:dyDescent="0.25">
      <c r="A104" s="31" t="s">
        <v>477</v>
      </c>
      <c r="B104" s="2"/>
      <c r="C104" s="2"/>
      <c r="D104" s="2"/>
      <c r="E104" s="2"/>
      <c r="F104" s="2"/>
      <c r="G104" s="2"/>
      <c r="H104" s="2"/>
      <c r="I104" s="2"/>
      <c r="J104" s="2"/>
    </row>
    <row r="105" spans="1:10" x14ac:dyDescent="0.25">
      <c r="A105" s="2" t="s">
        <v>478</v>
      </c>
      <c r="B105" s="2"/>
      <c r="C105" s="2"/>
      <c r="D105" s="2"/>
      <c r="E105" s="2"/>
      <c r="F105" s="2"/>
      <c r="G105" s="2"/>
      <c r="H105" s="2"/>
      <c r="I105" s="2"/>
      <c r="J105" s="2"/>
    </row>
    <row r="106" spans="1:10" x14ac:dyDescent="0.25">
      <c r="A106" s="2" t="s">
        <v>479</v>
      </c>
      <c r="B106" s="2"/>
      <c r="C106" s="2"/>
      <c r="D106" s="2"/>
      <c r="E106" s="2"/>
      <c r="F106" s="2"/>
      <c r="G106" s="2"/>
      <c r="H106" s="2"/>
      <c r="I106" s="2"/>
      <c r="J106" s="2"/>
    </row>
    <row r="107" spans="1:10" x14ac:dyDescent="0.25">
      <c r="A107" s="2" t="s">
        <v>480</v>
      </c>
      <c r="B107" s="2"/>
      <c r="C107" s="2"/>
      <c r="D107" s="2"/>
      <c r="E107" s="2"/>
      <c r="F107" s="2"/>
      <c r="G107" s="2"/>
      <c r="H107" s="2"/>
      <c r="I107" s="2"/>
      <c r="J107" s="2"/>
    </row>
    <row r="108" spans="1:10" x14ac:dyDescent="0.25">
      <c r="A108" s="2" t="s">
        <v>481</v>
      </c>
      <c r="B108" s="2"/>
      <c r="C108" s="2"/>
      <c r="D108" s="2"/>
      <c r="E108" s="2"/>
      <c r="F108" s="2"/>
      <c r="G108" s="2"/>
      <c r="H108" s="2"/>
      <c r="I108" s="2"/>
      <c r="J108" s="2"/>
    </row>
    <row r="109" spans="1:1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x14ac:dyDescent="0.25">
      <c r="A110" s="31" t="s">
        <v>482</v>
      </c>
      <c r="B110" s="2"/>
      <c r="C110" s="2"/>
      <c r="D110" s="2"/>
      <c r="E110" s="2"/>
      <c r="F110" s="2"/>
      <c r="G110" s="2"/>
      <c r="H110" s="2"/>
      <c r="I110" s="2"/>
      <c r="J110" s="2"/>
    </row>
    <row r="111" spans="1:10" x14ac:dyDescent="0.25">
      <c r="A111" s="2" t="s">
        <v>483</v>
      </c>
      <c r="B111" s="2"/>
      <c r="C111" s="2"/>
      <c r="D111" s="2"/>
      <c r="E111" s="2"/>
      <c r="F111" s="2"/>
      <c r="G111" s="2"/>
      <c r="H111" s="2"/>
      <c r="I111" s="2"/>
      <c r="J111" s="2"/>
    </row>
    <row r="112" spans="1:10" x14ac:dyDescent="0.25">
      <c r="A112" s="2" t="s">
        <v>484</v>
      </c>
      <c r="B112" s="2"/>
      <c r="C112" s="2"/>
      <c r="D112" s="2"/>
      <c r="E112" s="2"/>
      <c r="F112" s="2"/>
      <c r="G112" s="2"/>
      <c r="H112" s="2"/>
      <c r="I112" s="2"/>
      <c r="J112" s="2"/>
    </row>
    <row r="113" spans="1:10" x14ac:dyDescent="0.25">
      <c r="A113" s="2" t="s">
        <v>485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x14ac:dyDescent="0.25">
      <c r="A115" s="31" t="s">
        <v>486</v>
      </c>
      <c r="B115" s="2"/>
      <c r="C115" s="2"/>
      <c r="D115" s="2"/>
      <c r="E115" s="2"/>
      <c r="F115" s="2"/>
      <c r="G115" s="2"/>
      <c r="H115" s="2"/>
      <c r="I115" s="2"/>
      <c r="J115" s="2"/>
    </row>
    <row r="116" spans="1:10" x14ac:dyDescent="0.25">
      <c r="A116" s="2" t="s">
        <v>487</v>
      </c>
      <c r="B116" s="2"/>
      <c r="C116" s="2"/>
      <c r="D116" s="2"/>
      <c r="E116" s="2"/>
      <c r="F116" s="2"/>
      <c r="G116" s="2"/>
      <c r="H116" s="2"/>
      <c r="I116" s="2"/>
      <c r="J116" s="2"/>
    </row>
    <row r="117" spans="1:10" x14ac:dyDescent="0.25">
      <c r="A117" s="2" t="s">
        <v>488</v>
      </c>
      <c r="B117" s="2"/>
      <c r="C117" s="2"/>
      <c r="D117" s="2"/>
      <c r="E117" s="2"/>
      <c r="F117" s="2"/>
      <c r="G117" s="2"/>
      <c r="H117" s="2"/>
      <c r="I117" s="2"/>
      <c r="J117" s="2"/>
    </row>
    <row r="118" spans="1:10" x14ac:dyDescent="0.25">
      <c r="A118" s="2" t="s">
        <v>489</v>
      </c>
      <c r="B118" s="2"/>
      <c r="C118" s="2"/>
      <c r="D118" s="2"/>
      <c r="E118" s="2"/>
      <c r="F118" s="2"/>
      <c r="G118" s="2"/>
      <c r="H118" s="2"/>
      <c r="I118" s="2"/>
      <c r="J118" s="2"/>
    </row>
    <row r="119" spans="1:10" x14ac:dyDescent="0.25">
      <c r="A119" s="2" t="s">
        <v>490</v>
      </c>
      <c r="B119" s="2"/>
      <c r="C119" s="2"/>
      <c r="D119" s="2"/>
      <c r="E119" s="2"/>
      <c r="F119" s="2"/>
      <c r="G119" s="2"/>
      <c r="H119" s="2"/>
      <c r="I119" s="2"/>
      <c r="J119" s="2"/>
    </row>
    <row r="120" spans="1:1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x14ac:dyDescent="0.25">
      <c r="A121" s="2" t="s">
        <v>491</v>
      </c>
      <c r="B121" s="2"/>
      <c r="C121" s="2"/>
      <c r="D121" s="2"/>
      <c r="E121" s="2"/>
      <c r="F121" s="2"/>
      <c r="G121" s="2"/>
      <c r="H121" s="2"/>
      <c r="I121" s="2"/>
      <c r="J121" s="2"/>
    </row>
    <row r="122" spans="1:10" x14ac:dyDescent="0.25">
      <c r="A122" s="2" t="s">
        <v>492</v>
      </c>
      <c r="B122" s="2"/>
      <c r="C122" s="2"/>
      <c r="D122" s="2"/>
      <c r="E122" s="2"/>
      <c r="F122" s="2"/>
      <c r="G122" s="2"/>
      <c r="H122" s="2"/>
      <c r="I122" s="2"/>
      <c r="J122" s="2"/>
    </row>
    <row r="124" spans="1:10" x14ac:dyDescent="0.25">
      <c r="A124" s="12" t="s">
        <v>493</v>
      </c>
      <c r="B124" s="2"/>
      <c r="C124" s="2"/>
      <c r="D124" s="2"/>
      <c r="E124" s="2"/>
      <c r="F124" s="2"/>
      <c r="G124" s="2"/>
      <c r="H124" s="2"/>
      <c r="I124" s="2"/>
      <c r="J124" s="2"/>
    </row>
    <row r="125" spans="1:10" x14ac:dyDescent="0.25">
      <c r="A125" s="18" t="s">
        <v>494</v>
      </c>
      <c r="B125" s="18" t="s">
        <v>495</v>
      </c>
      <c r="C125" s="18" t="s">
        <v>496</v>
      </c>
      <c r="D125" s="18" t="s">
        <v>497</v>
      </c>
      <c r="E125" s="18" t="s">
        <v>9</v>
      </c>
    </row>
    <row r="126" spans="1:10" x14ac:dyDescent="0.25">
      <c r="A126" t="s">
        <v>498</v>
      </c>
      <c r="B126">
        <v>100</v>
      </c>
      <c r="C126">
        <v>100</v>
      </c>
      <c r="D126">
        <f t="shared" ref="D126:D133" si="1">B126/C126*100</f>
        <v>100</v>
      </c>
      <c r="E126" t="str">
        <f t="shared" ref="E126:E132" si="2">IF(D126&gt;=90,"✅",IF(D126&gt;=70,"⚠️","❌"))</f>
        <v>✅</v>
      </c>
    </row>
    <row r="127" spans="1:10" x14ac:dyDescent="0.25">
      <c r="A127" t="s">
        <v>291</v>
      </c>
      <c r="B127">
        <v>100</v>
      </c>
      <c r="C127">
        <v>100</v>
      </c>
      <c r="D127">
        <f t="shared" si="1"/>
        <v>100</v>
      </c>
      <c r="E127" t="str">
        <f t="shared" si="2"/>
        <v>✅</v>
      </c>
    </row>
    <row r="128" spans="1:10" x14ac:dyDescent="0.25">
      <c r="A128" t="s">
        <v>293</v>
      </c>
      <c r="B128">
        <v>100</v>
      </c>
      <c r="C128">
        <v>100</v>
      </c>
      <c r="D128">
        <f t="shared" si="1"/>
        <v>100</v>
      </c>
      <c r="E128" t="str">
        <f t="shared" si="2"/>
        <v>✅</v>
      </c>
    </row>
    <row r="129" spans="1:5" x14ac:dyDescent="0.25">
      <c r="A129" t="s">
        <v>499</v>
      </c>
      <c r="B129">
        <v>90</v>
      </c>
      <c r="C129">
        <v>100</v>
      </c>
      <c r="D129">
        <f t="shared" si="1"/>
        <v>90</v>
      </c>
      <c r="E129" t="str">
        <f t="shared" si="2"/>
        <v>✅</v>
      </c>
    </row>
    <row r="130" spans="1:5" x14ac:dyDescent="0.25">
      <c r="A130" t="s">
        <v>311</v>
      </c>
      <c r="B130">
        <v>97</v>
      </c>
      <c r="C130">
        <v>100</v>
      </c>
      <c r="D130">
        <f t="shared" si="1"/>
        <v>97</v>
      </c>
      <c r="E130" t="str">
        <f t="shared" si="2"/>
        <v>✅</v>
      </c>
    </row>
    <row r="131" spans="1:5" x14ac:dyDescent="0.25">
      <c r="A131" t="s">
        <v>355</v>
      </c>
      <c r="B131">
        <v>30</v>
      </c>
      <c r="C131">
        <v>100</v>
      </c>
      <c r="D131">
        <f t="shared" si="1"/>
        <v>30</v>
      </c>
      <c r="E131" t="str">
        <f t="shared" si="2"/>
        <v>❌</v>
      </c>
    </row>
    <row r="132" spans="1:5" x14ac:dyDescent="0.25">
      <c r="A132" t="s">
        <v>500</v>
      </c>
      <c r="B132">
        <v>20</v>
      </c>
      <c r="C132">
        <v>100</v>
      </c>
      <c r="D132">
        <f t="shared" si="1"/>
        <v>20</v>
      </c>
      <c r="E132" t="str">
        <f t="shared" si="2"/>
        <v>❌</v>
      </c>
    </row>
    <row r="133" spans="1:5" x14ac:dyDescent="0.25">
      <c r="A133" s="21" t="s">
        <v>501</v>
      </c>
      <c r="B133" s="21">
        <f>SUM(B126:B132)</f>
        <v>537</v>
      </c>
      <c r="C133" s="21">
        <f>SUM(C126:C132)</f>
        <v>700</v>
      </c>
      <c r="D133" s="21">
        <f t="shared" si="1"/>
        <v>76.714285714285708</v>
      </c>
      <c r="E133" s="21" t="str">
        <f>IF(D133&gt;=90,"✅ BAŞARILI",IF(D133&gt;=70,"⚠️ DEVAM","❌ YETERSİZ"))</f>
        <v>⚠️ DEVAM</v>
      </c>
    </row>
  </sheetData>
  <mergeCells count="37">
    <mergeCell ref="A124:J124"/>
    <mergeCell ref="A117:J117"/>
    <mergeCell ref="A118:J118"/>
    <mergeCell ref="A119:J119"/>
    <mergeCell ref="A120:J120"/>
    <mergeCell ref="A121:J121"/>
    <mergeCell ref="A122:J122"/>
    <mergeCell ref="A111:J111"/>
    <mergeCell ref="A112:J112"/>
    <mergeCell ref="A113:J113"/>
    <mergeCell ref="A114:J114"/>
    <mergeCell ref="A115:J115"/>
    <mergeCell ref="A116:J116"/>
    <mergeCell ref="A105:J105"/>
    <mergeCell ref="A106:J106"/>
    <mergeCell ref="A107:J107"/>
    <mergeCell ref="A108:J108"/>
    <mergeCell ref="A109:J109"/>
    <mergeCell ref="A110:J110"/>
    <mergeCell ref="A89:J89"/>
    <mergeCell ref="A100:J100"/>
    <mergeCell ref="A101:J101"/>
    <mergeCell ref="A102:J102"/>
    <mergeCell ref="A103:J103"/>
    <mergeCell ref="A104:J104"/>
    <mergeCell ref="A45:J45"/>
    <mergeCell ref="A54:J54"/>
    <mergeCell ref="A68:J68"/>
    <mergeCell ref="A79:J79"/>
    <mergeCell ref="A80:E80"/>
    <mergeCell ref="F80:J80"/>
    <mergeCell ref="A1:J1"/>
    <mergeCell ref="A2:J2"/>
    <mergeCell ref="A4:J4"/>
    <mergeCell ref="A15:E15"/>
    <mergeCell ref="F15:J15"/>
    <mergeCell ref="A30:J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GR-QFT-UST Sentez 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From Homosapiens To Homo[DATA]</dc:creator>
  <cp:lastModifiedBy>From Homosapiens To Homo[DATA]</cp:lastModifiedBy>
  <dcterms:created xsi:type="dcterms:W3CDTF">2026-04-23T11:00:25Z</dcterms:created>
  <dcterms:modified xsi:type="dcterms:W3CDTF">2026-04-23T11:00:26Z</dcterms:modified>
</cp:coreProperties>
</file>