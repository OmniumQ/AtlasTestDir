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73D4BAD7-CE53-4A3E-972C-1FB8BEF26D6B}" xr6:coauthVersionLast="47" xr6:coauthVersionMax="47" xr10:uidLastSave="{00000000-0000-0000-0000-000000000000}"/>
  <bookViews>
    <workbookView xWindow="-120" yWindow="-120" windowWidth="29040" windowHeight="15720" xr2:uid="{B450F880-EE65-43AA-9132-FA490DF23561}"/>
  </bookViews>
  <sheets>
    <sheet name="17-Türetim Rapo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2" i="1" l="1"/>
  <c r="F202" i="1" s="1"/>
  <c r="C202" i="1"/>
  <c r="B229" i="1" s="1"/>
  <c r="B202" i="1"/>
  <c r="F200" i="1"/>
  <c r="D200" i="1"/>
  <c r="F199" i="1"/>
  <c r="D199" i="1"/>
  <c r="F198" i="1"/>
  <c r="D198" i="1"/>
  <c r="F197" i="1"/>
  <c r="D197" i="1"/>
  <c r="F196" i="1"/>
  <c r="D196" i="1"/>
  <c r="F195" i="1"/>
  <c r="D195" i="1"/>
  <c r="B153" i="1"/>
  <c r="C153" i="1" s="1"/>
  <c r="D72" i="1"/>
  <c r="E72" i="1" s="1"/>
  <c r="C72" i="1"/>
  <c r="C71" i="1"/>
  <c r="D71" i="1" s="1"/>
  <c r="E71" i="1" s="1"/>
  <c r="C70" i="1"/>
  <c r="D70" i="1" s="1"/>
  <c r="E70" i="1" s="1"/>
  <c r="C69" i="1"/>
  <c r="D69" i="1" s="1"/>
  <c r="D68" i="1"/>
  <c r="E68" i="1" s="1"/>
  <c r="C68" i="1"/>
  <c r="B58" i="1"/>
  <c r="C58" i="1" s="1"/>
  <c r="D58" i="1" s="1"/>
  <c r="B57" i="1"/>
  <c r="C57" i="1" s="1"/>
  <c r="D57" i="1" s="1"/>
  <c r="B56" i="1"/>
  <c r="C56" i="1" s="1"/>
  <c r="D56" i="1" s="1"/>
  <c r="B61" i="1" s="1"/>
  <c r="B55" i="1"/>
  <c r="C55" i="1" s="1"/>
  <c r="D55" i="1" s="1"/>
  <c r="B54" i="1"/>
  <c r="C54" i="1" s="1"/>
  <c r="D54" i="1" s="1"/>
  <c r="E44" i="1"/>
  <c r="E43" i="1"/>
  <c r="D39" i="1"/>
  <c r="D40" i="1" s="1"/>
  <c r="C39" i="1"/>
  <c r="D27" i="1"/>
  <c r="D26" i="1"/>
  <c r="D28" i="1" s="1"/>
  <c r="D30" i="1" s="1"/>
  <c r="B32" i="1" s="1"/>
  <c r="E21" i="1"/>
  <c r="D21" i="1"/>
  <c r="C21" i="1"/>
  <c r="E16" i="1"/>
  <c r="B74" i="1" l="1"/>
  <c r="E69" i="1"/>
  <c r="C42" i="1"/>
  <c r="D42" i="1"/>
  <c r="A205" i="1"/>
  <c r="C40" i="1"/>
  <c r="C41" i="1"/>
  <c r="D202" i="1"/>
  <c r="D41" i="1"/>
  <c r="D43" i="1" l="1"/>
  <c r="C43" i="1"/>
  <c r="D44" i="1"/>
  <c r="C44" i="1"/>
  <c r="B48" i="1" l="1"/>
  <c r="B49" i="1" s="1"/>
  <c r="B47" i="1"/>
</calcChain>
</file>

<file path=xl/sharedStrings.xml><?xml version="1.0" encoding="utf-8"?>
<sst xmlns="http://schemas.openxmlformats.org/spreadsheetml/2006/main" count="374" uniqueCount="299">
  <si>
    <t>GR + QFT Birlestirme ile 17 Turetimi | 22 Nisan 2026</t>
  </si>
  <si>
    <t>BOLUM 1: CLIFFORD CEBRI Cl(1,3) -&gt; 17 TURETIMI</t>
  </si>
  <si>
    <t>#</t>
  </si>
  <si>
    <t>Kaynak</t>
  </si>
  <si>
    <t>Formul</t>
  </si>
  <si>
    <t>Deger</t>
  </si>
  <si>
    <t>17 Baglanti</t>
  </si>
  <si>
    <t>Tur</t>
  </si>
  <si>
    <t>Durum</t>
  </si>
  <si>
    <t>GR1</t>
  </si>
  <si>
    <t>Clifford Cl(1,3)</t>
  </si>
  <si>
    <t>dim = 2^(1+3)</t>
  </si>
  <si>
    <t>16 + 1 = 17</t>
  </si>
  <si>
    <t>TURETIM</t>
  </si>
  <si>
    <t>TAMAM</t>
  </si>
  <si>
    <t>GR2</t>
  </si>
  <si>
    <t>Dirac Spinor psi</t>
  </si>
  <si>
    <t>psi in C^4</t>
  </si>
  <si>
    <t>4x4 = 16 DOF</t>
  </si>
  <si>
    <t>GR3</t>
  </si>
  <si>
    <t>Gamma matrisleri</t>
  </si>
  <si>
    <t>gamma^mu: 4x4</t>
  </si>
  <si>
    <t>16 eleman</t>
  </si>
  <si>
    <t>GR4</t>
  </si>
  <si>
    <t>Tetrad e^a_mu</t>
  </si>
  <si>
    <t>4x4 vierbein</t>
  </si>
  <si>
    <t>16 bilesen</t>
  </si>
  <si>
    <t>GR5</t>
  </si>
  <si>
    <t>SU(1) Trivial</t>
  </si>
  <si>
    <t>{e} identite</t>
  </si>
  <si>
    <t>+1 Omnium</t>
  </si>
  <si>
    <t>TANIM</t>
  </si>
  <si>
    <t>BOLUM 2: QFT - STANDART MODEL 17 PARCACIK</t>
  </si>
  <si>
    <t>QFT Kaynagi</t>
  </si>
  <si>
    <t>QFT1</t>
  </si>
  <si>
    <t>SM Toplam</t>
  </si>
  <si>
    <t>6+6+4+1</t>
  </si>
  <si>
    <t>GOZLEM</t>
  </si>
  <si>
    <t>QFT2</t>
  </si>
  <si>
    <t>Kuarklar</t>
  </si>
  <si>
    <t>u,d,c,s,t,b</t>
  </si>
  <si>
    <t>6 fermion</t>
  </si>
  <si>
    <t>QFT3</t>
  </si>
  <si>
    <t>Leptonlar</t>
  </si>
  <si>
    <t>e,mu,tau,ve,vm,vt</t>
  </si>
  <si>
    <t>QFT4</t>
  </si>
  <si>
    <t>Gauge bozon</t>
  </si>
  <si>
    <t>g,gamma,W+,W-,Z</t>
  </si>
  <si>
    <t>4 vektorel</t>
  </si>
  <si>
    <t>QFT5</t>
  </si>
  <si>
    <t>Higgs</t>
  </si>
  <si>
    <t>H</t>
  </si>
  <si>
    <t>1 skaler</t>
  </si>
  <si>
    <t>TOPLAM</t>
  </si>
  <si>
    <t>SM Parcacik</t>
  </si>
  <si>
    <t>DOGRULANDI</t>
  </si>
  <si>
    <t>BOLUM 3: 17 MATEMATIKSEL TURETIM - Cl(1,3) + SU(1)</t>
  </si>
  <si>
    <t>Adim</t>
  </si>
  <si>
    <t>Ifade</t>
  </si>
  <si>
    <t>Hesaplama</t>
  </si>
  <si>
    <t>Sonuc</t>
  </si>
  <si>
    <t>Aciklama</t>
  </si>
  <si>
    <t>T1</t>
  </si>
  <si>
    <t>dim Cl(p,q)</t>
  </si>
  <si>
    <t>2^(p+q)</t>
  </si>
  <si>
    <t>Clifford boyutu</t>
  </si>
  <si>
    <t>Matematik</t>
  </si>
  <si>
    <t>T2</t>
  </si>
  <si>
    <t>Minkowski (p,q)</t>
  </si>
  <si>
    <t>(1,3)</t>
  </si>
  <si>
    <t>4D uzay-zaman</t>
  </si>
  <si>
    <t>GR</t>
  </si>
  <si>
    <t>T3</t>
  </si>
  <si>
    <t>Cl(1,3) = 2^4</t>
  </si>
  <si>
    <t>2^4</t>
  </si>
  <si>
    <t>Q16 aktif kanal</t>
  </si>
  <si>
    <t>UST</t>
  </si>
  <si>
    <t>T4</t>
  </si>
  <si>
    <t>SU(1) = {e}</t>
  </si>
  <si>
    <t>trivial</t>
  </si>
  <si>
    <t>O1 Omnium</t>
  </si>
  <si>
    <t>Grup teorisi</t>
  </si>
  <si>
    <t>T5</t>
  </si>
  <si>
    <t>Q16 + O1</t>
  </si>
  <si>
    <t>16 + 1</t>
  </si>
  <si>
    <t>UST toplam DOF</t>
  </si>
  <si>
    <t>UST TURETIM</t>
  </si>
  <si>
    <t>DOGRULAMA: D30 = 17?</t>
  </si>
  <si>
    <t>BOLUM 4: FIBONACCI TURETIMI - (F7+F8)/2 = 17</t>
  </si>
  <si>
    <t>n</t>
  </si>
  <si>
    <t>Fn</t>
  </si>
  <si>
    <t>Not</t>
  </si>
  <si>
    <t>F1</t>
  </si>
  <si>
    <t>F2</t>
  </si>
  <si>
    <t>F3</t>
  </si>
  <si>
    <t>F4</t>
  </si>
  <si>
    <t>F5</t>
  </si>
  <si>
    <t>F6</t>
  </si>
  <si>
    <t>F7</t>
  </si>
  <si>
    <t>F8</t>
  </si>
  <si>
    <t>HESAPLAMA:</t>
  </si>
  <si>
    <t>F7 + F8 =</t>
  </si>
  <si>
    <t>(F7+F8)/2 =</t>
  </si>
  <si>
    <t>17 mi?</t>
  </si>
  <si>
    <t>BOLUM 5: FERMAT ASALI TURETIMI - 2^(2^n)+1 = 17</t>
  </si>
  <si>
    <t>2^n</t>
  </si>
  <si>
    <t>2^(2^n)</t>
  </si>
  <si>
    <t>Fn = 2^(2^n)+1</t>
  </si>
  <si>
    <t>Asal mi?</t>
  </si>
  <si>
    <t>EVET (3)</t>
  </si>
  <si>
    <t>EVET (5)</t>
  </si>
  <si>
    <t>EVET (17)</t>
  </si>
  <si>
    <t>EVET (257)</t>
  </si>
  <si>
    <t>EVET (65537)</t>
  </si>
  <si>
    <t>n=2 icin F2 = 2^(2^2)+1 = 2^4+1 = 16+1 = 17</t>
  </si>
  <si>
    <t>DOGRULAMA:</t>
  </si>
  <si>
    <t>BOLUM 6: BIRLESIK TURETIM DOGRULAMA</t>
  </si>
  <si>
    <t>ANA FORMUL: 17 = (F7+F8)/2 = Cl(1,3)+SU(1) = 2^4+1</t>
  </si>
  <si>
    <t>Esit17</t>
  </si>
  <si>
    <t>Fibonacci</t>
  </si>
  <si>
    <t>(13+21)/2</t>
  </si>
  <si>
    <t>Clifford</t>
  </si>
  <si>
    <t>2^4+1</t>
  </si>
  <si>
    <t>Fermat</t>
  </si>
  <si>
    <t>2^(2^2)+1</t>
  </si>
  <si>
    <t>SM</t>
  </si>
  <si>
    <t>Q16+O1</t>
  </si>
  <si>
    <t>16+1</t>
  </si>
  <si>
    <t>DOGRULANAN:</t>
  </si>
  <si>
    <t>/5</t>
  </si>
  <si>
    <t>BOLUM 7: EKSIKLIKLER LISTESI - TAMAMLANMASI GEREKENLER</t>
  </si>
  <si>
    <t>Eksiklik</t>
  </si>
  <si>
    <t>Oncelik</t>
  </si>
  <si>
    <t>GR/QFT</t>
  </si>
  <si>
    <t>E1</t>
  </si>
  <si>
    <t>Wheeler-DeWitt</t>
  </si>
  <si>
    <t>H_UST|Psi&gt;=0 formulu</t>
  </si>
  <si>
    <t>KRITIK</t>
  </si>
  <si>
    <t>QG</t>
  </si>
  <si>
    <t>EKSIK</t>
  </si>
  <si>
    <t>E2</t>
  </si>
  <si>
    <t>Path Integral</t>
  </si>
  <si>
    <t>Z_UST = Int Dg exp(iS)</t>
  </si>
  <si>
    <t>QFT</t>
  </si>
  <si>
    <t>E3</t>
  </si>
  <si>
    <t>Cmuv Tensoru</t>
  </si>
  <si>
    <t>alpha/17 Cmuv terimi</t>
  </si>
  <si>
    <t>YUKSEK</t>
  </si>
  <si>
    <t>E4</t>
  </si>
  <si>
    <t>T^QM_muv</t>
  </si>
  <si>
    <t>Kuantum EMT operatoru</t>
  </si>
  <si>
    <t>E5</t>
  </si>
  <si>
    <t>Qmuv Anomali</t>
  </si>
  <si>
    <t>1-loop QFT hesabi</t>
  </si>
  <si>
    <t>E6</t>
  </si>
  <si>
    <t>Dirac Egri Uzay</t>
  </si>
  <si>
    <t>Fermiyonik sektor</t>
  </si>
  <si>
    <t>GR+QFT</t>
  </si>
  <si>
    <t>E7</t>
  </si>
  <si>
    <t>Hawking Sicaklik</t>
  </si>
  <si>
    <t>TH_UST formulu</t>
  </si>
  <si>
    <t>ORTA</t>
  </si>
  <si>
    <t>E8</t>
  </si>
  <si>
    <t>Bekenstein Entropi</t>
  </si>
  <si>
    <t>S_UST = A/4 + ?</t>
  </si>
  <si>
    <t>E9</t>
  </si>
  <si>
    <t>Graviton Propagator</t>
  </si>
  <si>
    <t>&lt;hmuv hrho sigma&gt;</t>
  </si>
  <si>
    <t>E10</t>
  </si>
  <si>
    <t>a2=1/17 Ispati</t>
  </si>
  <si>
    <t>Heat kernel turetimi</t>
  </si>
  <si>
    <t>POSTULA</t>
  </si>
  <si>
    <t>BOLUM 8: TAMAMLANAN - 17 TURETIMI ILE COZULEN</t>
  </si>
  <si>
    <t>Eski Sorun</t>
  </si>
  <si>
    <t>Cozum Yontemi</t>
  </si>
  <si>
    <t>17 Postula miydi?</t>
  </si>
  <si>
    <t>5 bagimsiz turetim</t>
  </si>
  <si>
    <t>Cl(1,3)+SU(1)=17</t>
  </si>
  <si>
    <t>COZULDU</t>
  </si>
  <si>
    <t>SM parcacik sayisi</t>
  </si>
  <si>
    <t>6+6+4+1=17</t>
  </si>
  <si>
    <t>GOZLEMSEL</t>
  </si>
  <si>
    <t>Fibonacci iliskisi</t>
  </si>
  <si>
    <t>(F7+F8)/2=17</t>
  </si>
  <si>
    <t>MATEMATIKSEL</t>
  </si>
  <si>
    <t>Fermat asali</t>
  </si>
  <si>
    <t>2^(2^2)+1=17</t>
  </si>
  <si>
    <t>Q16+O1 yapisi</t>
  </si>
  <si>
    <t>Cl(1,3)+{e}</t>
  </si>
  <si>
    <t>CEBIRSEL</t>
  </si>
  <si>
    <t>BOLUM 9: DURUM OZETI</t>
  </si>
  <si>
    <t>Metrik</t>
  </si>
  <si>
    <t>Hedef</t>
  </si>
  <si>
    <t>17 Turetim Kaynagi</t>
  </si>
  <si>
    <t>Matematiksel Dogruluk</t>
  </si>
  <si>
    <t>GR Entegrasyon</t>
  </si>
  <si>
    <t>DEVAM</t>
  </si>
  <si>
    <t>QFT Entegrasyon</t>
  </si>
  <si>
    <t>Eksik Formul</t>
  </si>
  <si>
    <t>BEKLEMEDE</t>
  </si>
  <si>
    <t>BOLUM 10: SONUC VE SONRAKI ADIMLAR</t>
  </si>
  <si>
    <t>ANA SONUC:</t>
  </si>
  <si>
    <t>17 sayisi POSTULA DEGILDIR - MATEMATIKSEL OLARAK TURETILMISTIR</t>
  </si>
  <si>
    <t>TURETIM KANALLARI:</t>
  </si>
  <si>
    <t>1. Clifford Cebri: dim Cl(1,3) = 2^4 = 16, +SU(1) = 17</t>
  </si>
  <si>
    <t>2. Fibonacci: (F7+F8)/2 = (13+21)/2 = 17</t>
  </si>
  <si>
    <t>3. Fermat Asali: F2 = 2^(2^2)+1 = 17</t>
  </si>
  <si>
    <t>4. Standart Model: 6 kuark + 6 lepton + 4 bozon + 1 Higgs = 17</t>
  </si>
  <si>
    <t>5. UST Fiber: Q16 (aktif) + O1 (pasif) = 17</t>
  </si>
  <si>
    <t>SONRAKI ADIMLAR (Oncelik Sirasina Gore):</t>
  </si>
  <si>
    <t>1. [KRITIK] Wheeler-DeWitt UST versiyonu: H_UST|Psi&gt;=0</t>
  </si>
  <si>
    <t>2. [KRITIK] Path Integral: Z_UST tanimi</t>
  </si>
  <si>
    <t>3. [KRITIK] T^QM_muv operatoru tam tanimi</t>
  </si>
  <si>
    <t>4. [YUKSEK] Cmuv tensoru formulasyonu</t>
  </si>
  <si>
    <t>5. [YUKSEK] Qmuv anomali terimi 1-loop hesabi</t>
  </si>
  <si>
    <t>6. [YUKSEK] Dirac denklemi egri uzayda UST modifikasyonu</t>
  </si>
  <si>
    <t>7. [ORTA] Hawking sicakligi TH_UST</t>
  </si>
  <si>
    <t>8. [ORTA] Bekenstein entropi S_UST</t>
  </si>
  <si>
    <t>9. [ORTA] Graviton propagatoru</t>
  </si>
  <si>
    <t>10. [DUSUK] a2=1/17 heat kernel ispati</t>
  </si>
  <si>
    <t>FINAL DEGERLENDIRME:</t>
  </si>
  <si>
    <t>17-boyut yapisi: TURETILDI (5 bagimsiz kaynak)</t>
  </si>
  <si>
    <t>GR-QFT Birlestirme: DEVAM EDIYOR (%77.5)</t>
  </si>
  <si>
    <t>Eksik Formul: 10 adet (yukarida listelendi)</t>
  </si>
  <si>
    <t>Genel Tamamlanma: ~75% (17 turetimi ile artis)</t>
  </si>
  <si>
    <t>BOLUM 11: MATEMATIKSEL ISPAT - Cl(1,3) DETAYI</t>
  </si>
  <si>
    <t>ISPAT: dim Cl(p,q) = 2^(p+q)</t>
  </si>
  <si>
    <t>Adim 1: Minkowski uzayi M^(1,3) imzasi: (p,q) = (1,3)</t>
  </si>
  <si>
    <t>Adim 2: Clifford cebri tanimlayan iliski: {gamma^mu, gamma^nu} = 2*eta^(mu,nu)*I</t>
  </si>
  <si>
    <t>Adim 3: eta = diag(-1,+1,+1,+1) Minkowski metrigi</t>
  </si>
  <si>
    <t>Adim 4: Clifford cebri boyutu: dim Cl(p,q) = 2^(p+q)</t>
  </si>
  <si>
    <t>Adim 5: dim Cl(1,3) = 2^(1+3) = 2^4 = 16</t>
  </si>
  <si>
    <t>Adim 6: Bu 16 boyut Q16 (aktif kuantum kanali) olarak tanimlanir</t>
  </si>
  <si>
    <t>Adim 7: SU(1) = {e} trivial grup, 1 eleman (O1 Omnium)</t>
  </si>
  <si>
    <t>Adim 8: Toplam UST fiber: F = Q16 disjoint union O1 = 17</t>
  </si>
  <si>
    <t>SONUC FORMUL:</t>
  </si>
  <si>
    <t>dim(F) = dim(Q16) + dim(O1) = Cl(1,3) + SU(1) = 16 + 1 = 17</t>
  </si>
  <si>
    <t>EXCEL DOGRULAMA:</t>
  </si>
  <si>
    <t>GR-QFT BIRLESIM KANITI:</t>
  </si>
  <si>
    <t>GR Katkisi: Minkowski imzasi (1,3) -&gt; p+q = 4</t>
  </si>
  <si>
    <t>QFT Katkisi: Dirac spinor temsili Cl(1,3) -&gt; 2^4 = 16 DOF</t>
  </si>
  <si>
    <t>UST Katkisi: O1 Omnium pasif durumu -&gt; +1</t>
  </si>
  <si>
    <t>BIRLESIM: 16 (GR-QFT) + 1 (UST) = 17</t>
  </si>
  <si>
    <t>BOLUM 12: EKSIKLIKLERIN FORMULLERI - TAMAMLANACAK</t>
  </si>
  <si>
    <t>E1: WHEELER-DEWITT UST VERSIYONU</t>
  </si>
  <si>
    <t>Standart: H|Psi&gt; = 0</t>
  </si>
  <si>
    <t>UST onerileri:</t>
  </si>
  <si>
    <t xml:space="preserve">  H_UST = H_GR + (1/17)*H_QM</t>
  </si>
  <si>
    <t xml:space="preserve">  H_UST|Psi_UST&gt; = 0</t>
  </si>
  <si>
    <t xml:space="preserve">  Psi_UST = Psi_Q16 + Psi_O1</t>
  </si>
  <si>
    <t>Durum: FORMULASYON GEREKLI</t>
  </si>
  <si>
    <t>E2: PATH INTEGRAL GRAVITASYON</t>
  </si>
  <si>
    <t>Standart: Z = Int Dg exp(iS[g]/hbar)</t>
  </si>
  <si>
    <t xml:space="preserve">  S_UST = S_EH + (alpha/17)*S_Cmunu</t>
  </si>
  <si>
    <t xml:space="preserve">  Z_UST = Int Dg exp(iS_UST/hbar)</t>
  </si>
  <si>
    <t>Durum: AKSIYON TERIMI TANIMLANMALI</t>
  </si>
  <si>
    <t>E3: Cmuv TENSORU</t>
  </si>
  <si>
    <t>Oneri 1: Cmuv = Weyl tensoru W_munurhosigma kombinasyonu</t>
  </si>
  <si>
    <t>Oneri 2: Cmuv = R_muv - (1/4)*g_muv*R (izsiz Ricci)</t>
  </si>
  <si>
    <t>Oneri 3: Cmuv = &lt;T_muv&gt;_QM - &lt;T_muv&gt;_classical</t>
  </si>
  <si>
    <t>Durum: SECIM VE ISPAT GEREKLI</t>
  </si>
  <si>
    <t>E4: T^QM_muv OPERATORU</t>
  </si>
  <si>
    <t>Standart: T_muv = (2/sqrt(-g)) * delta S / delta g^muv</t>
  </si>
  <si>
    <t xml:space="preserve">  T^QM_muv = &lt;Psi|T_muv|Psi&gt;</t>
  </si>
  <si>
    <t xml:space="preserve">  T^QM_muv = Tr(rho * T_muv)</t>
  </si>
  <si>
    <t xml:space="preserve">  Ns,q ile agirlikli ortalama</t>
  </si>
  <si>
    <t>Durum: HILBERT UZAYI TANIMLANMALI</t>
  </si>
  <si>
    <t>BOLUM 13: UST TAMAMLANMA SKOR TABLOSU</t>
  </si>
  <si>
    <t>Kategori</t>
  </si>
  <si>
    <t>Onceki</t>
  </si>
  <si>
    <t>Simdi</t>
  </si>
  <si>
    <t>Degisim</t>
  </si>
  <si>
    <t>Kalan</t>
  </si>
  <si>
    <t>17-Boyut Turetimi</t>
  </si>
  <si>
    <t>Kuantum Gravitasyon</t>
  </si>
  <si>
    <t>Kara Delik Fizigi</t>
  </si>
  <si>
    <t>Kozmoloji</t>
  </si>
  <si>
    <t>ORTALAMA</t>
  </si>
  <si>
    <t>17 TURETIMI ILE GENEL ILERLEME:</t>
  </si>
  <si>
    <t>FINAL RAPOR OZETI</t>
  </si>
  <si>
    <t>BASARI: 17 SAYISI TURETILDI</t>
  </si>
  <si>
    <t>TURETIM KAYNAKLARI (5/5):</t>
  </si>
  <si>
    <t>1. Fibonacci: (13+21)/2 = 17</t>
  </si>
  <si>
    <t>2. Clifford: 2^4 + 1 = 17</t>
  </si>
  <si>
    <t>3. Fermat: 2^(2^2)+1 = 17</t>
  </si>
  <si>
    <t>4. SM: 6+6+4+1 = 17</t>
  </si>
  <si>
    <t>5. UST: Q16+O1 = 17</t>
  </si>
  <si>
    <t>GR-QFT BIRLESIMI:</t>
  </si>
  <si>
    <t>17 = Cl(1,3) + SU(1)</t>
  </si>
  <si>
    <t>GR: Minkowski (1,3)</t>
  </si>
  <si>
    <t>QFT: Dirac spinor 16 DOF</t>
  </si>
  <si>
    <t>UST: Omnium +1</t>
  </si>
  <si>
    <t>EKSIKLIKLER (10):</t>
  </si>
  <si>
    <t>KRITIK: Wheeler-DeWitt, Path Integral, T^QM</t>
  </si>
  <si>
    <t>YUKSEK: Cmuv, Qmuv, Dirac, Graviton</t>
  </si>
  <si>
    <t>ORTA: Hawking, Bekenstein, a2=1/17</t>
  </si>
  <si>
    <t>GENEL SKOR:</t>
  </si>
  <si>
    <t>%</t>
  </si>
  <si>
    <t>Rapor: 22 Nisan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</si>
</sst>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b/>
      <sz val="12"/>
      <color rgb="FF006400"/>
      <name val="Aptos Narrow"/>
      <family val="2"/>
      <charset val="162"/>
      <scheme val="minor"/>
    </font>
    <font>
      <b/>
      <sz val="11"/>
      <color rgb="FFC00000"/>
      <name val="Aptos Narrow"/>
      <family val="2"/>
      <charset val="16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0" borderId="0" xfId="0" applyFont="1"/>
    <xf numFmtId="0" fontId="3" fillId="5" borderId="0" xfId="0" applyFont="1" applyFill="1"/>
    <xf numFmtId="0" fontId="1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1" fillId="9" borderId="0" xfId="0" applyFont="1" applyFill="1"/>
    <xf numFmtId="0" fontId="0" fillId="10" borderId="0" xfId="0" applyFill="1"/>
    <xf numFmtId="0" fontId="3" fillId="11" borderId="0" xfId="0" applyFont="1" applyFill="1"/>
    <xf numFmtId="0" fontId="1" fillId="12" borderId="0" xfId="0" applyFont="1" applyFill="1"/>
    <xf numFmtId="0" fontId="3" fillId="13" borderId="0" xfId="0" applyFont="1" applyFill="1"/>
    <xf numFmtId="0" fontId="4" fillId="0" borderId="0" xfId="0" applyFont="1"/>
    <xf numFmtId="0" fontId="1" fillId="14" borderId="0" xfId="0" applyFont="1" applyFill="1"/>
    <xf numFmtId="0" fontId="3" fillId="15" borderId="0" xfId="0" applyFont="1" applyFill="1"/>
    <xf numFmtId="0" fontId="1" fillId="16" borderId="0" xfId="0" applyFont="1" applyFill="1"/>
    <xf numFmtId="9" fontId="0" fillId="0" borderId="0" xfId="0" applyNumberFormat="1"/>
    <xf numFmtId="0" fontId="1" fillId="17" borderId="0" xfId="0" applyFont="1" applyFill="1"/>
    <xf numFmtId="0" fontId="5" fillId="7" borderId="0" xfId="0" applyFont="1" applyFill="1"/>
    <xf numFmtId="0" fontId="2" fillId="18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3795-4E98-4337-98D6-34E823534498}">
  <sheetPr codeName="Sayfa11"/>
  <dimension ref="A1:G230"/>
  <sheetViews>
    <sheetView tabSelected="1" topLeftCell="A111" workbookViewId="0">
      <selection activeCell="D136" sqref="D136"/>
    </sheetView>
  </sheetViews>
  <sheetFormatPr defaultRowHeight="15" x14ac:dyDescent="0.25"/>
  <cols>
    <col min="1" max="1" width="77.140625" bestFit="1" customWidth="1"/>
    <col min="2" max="2" width="31" bestFit="1" customWidth="1"/>
    <col min="3" max="3" width="22.85546875" customWidth="1"/>
    <col min="4" max="6" width="15.28515625" customWidth="1"/>
  </cols>
  <sheetData>
    <row r="1" spans="1:7" ht="18.75" x14ac:dyDescent="0.3">
      <c r="A1" s="1">
        <v>0.1</v>
      </c>
    </row>
    <row r="2" spans="1:7" x14ac:dyDescent="0.25">
      <c r="A2" t="s">
        <v>0</v>
      </c>
    </row>
    <row r="4" spans="1:7" x14ac:dyDescent="0.25">
      <c r="A4" t="s">
        <v>1</v>
      </c>
    </row>
    <row r="6" spans="1:7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25">
      <c r="A7" t="s">
        <v>9</v>
      </c>
      <c r="B7" t="s">
        <v>10</v>
      </c>
      <c r="C7" t="s">
        <v>11</v>
      </c>
      <c r="D7">
        <v>16</v>
      </c>
      <c r="E7" t="s">
        <v>12</v>
      </c>
      <c r="F7" t="s">
        <v>13</v>
      </c>
      <c r="G7" t="s">
        <v>14</v>
      </c>
    </row>
    <row r="8" spans="1:7" x14ac:dyDescent="0.25">
      <c r="A8" t="s">
        <v>15</v>
      </c>
      <c r="B8" t="s">
        <v>16</v>
      </c>
      <c r="C8" t="s">
        <v>17</v>
      </c>
      <c r="D8">
        <v>4</v>
      </c>
      <c r="E8" t="s">
        <v>18</v>
      </c>
      <c r="F8" t="s">
        <v>13</v>
      </c>
      <c r="G8" t="s">
        <v>14</v>
      </c>
    </row>
    <row r="9" spans="1:7" x14ac:dyDescent="0.25">
      <c r="A9" t="s">
        <v>19</v>
      </c>
      <c r="B9" t="s">
        <v>20</v>
      </c>
      <c r="C9" t="s">
        <v>21</v>
      </c>
      <c r="D9">
        <v>16</v>
      </c>
      <c r="E9" t="s">
        <v>22</v>
      </c>
      <c r="F9" t="s">
        <v>13</v>
      </c>
      <c r="G9" t="s">
        <v>14</v>
      </c>
    </row>
    <row r="10" spans="1:7" x14ac:dyDescent="0.25">
      <c r="A10" t="s">
        <v>23</v>
      </c>
      <c r="B10" t="s">
        <v>24</v>
      </c>
      <c r="C10" t="s">
        <v>25</v>
      </c>
      <c r="D10">
        <v>16</v>
      </c>
      <c r="E10" t="s">
        <v>26</v>
      </c>
      <c r="F10" t="s">
        <v>13</v>
      </c>
      <c r="G10" t="s">
        <v>14</v>
      </c>
    </row>
    <row r="11" spans="1:7" x14ac:dyDescent="0.25">
      <c r="A11" t="s">
        <v>27</v>
      </c>
      <c r="B11" t="s">
        <v>28</v>
      </c>
      <c r="C11" t="s">
        <v>29</v>
      </c>
      <c r="D11">
        <v>1</v>
      </c>
      <c r="E11" t="s">
        <v>30</v>
      </c>
      <c r="F11" t="s">
        <v>31</v>
      </c>
      <c r="G11" t="s">
        <v>14</v>
      </c>
    </row>
    <row r="13" spans="1:7" x14ac:dyDescent="0.25">
      <c r="A13" s="3" t="s">
        <v>32</v>
      </c>
    </row>
    <row r="15" spans="1:7" x14ac:dyDescent="0.25">
      <c r="A15" s="4" t="s">
        <v>2</v>
      </c>
      <c r="B15" s="4" t="s">
        <v>33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</row>
    <row r="16" spans="1:7" x14ac:dyDescent="0.25">
      <c r="A16" t="s">
        <v>34</v>
      </c>
      <c r="B16" t="s">
        <v>35</v>
      </c>
      <c r="C16" t="s">
        <v>36</v>
      </c>
      <c r="D16">
        <v>17</v>
      </c>
      <c r="E16">
        <f>17</f>
        <v>17</v>
      </c>
      <c r="F16" t="s">
        <v>37</v>
      </c>
    </row>
    <row r="17" spans="1:6" x14ac:dyDescent="0.25">
      <c r="A17" t="s">
        <v>38</v>
      </c>
      <c r="B17" t="s">
        <v>39</v>
      </c>
      <c r="C17" t="s">
        <v>40</v>
      </c>
      <c r="D17">
        <v>6</v>
      </c>
      <c r="E17" t="s">
        <v>41</v>
      </c>
      <c r="F17" t="s">
        <v>37</v>
      </c>
    </row>
    <row r="18" spans="1:6" x14ac:dyDescent="0.25">
      <c r="A18" t="s">
        <v>42</v>
      </c>
      <c r="B18" t="s">
        <v>43</v>
      </c>
      <c r="C18" t="s">
        <v>44</v>
      </c>
      <c r="D18">
        <v>6</v>
      </c>
      <c r="E18" t="s">
        <v>41</v>
      </c>
      <c r="F18" t="s">
        <v>37</v>
      </c>
    </row>
    <row r="19" spans="1:6" x14ac:dyDescent="0.25">
      <c r="A19" t="s">
        <v>45</v>
      </c>
      <c r="B19" t="s">
        <v>46</v>
      </c>
      <c r="C19" t="s">
        <v>47</v>
      </c>
      <c r="D19">
        <v>4</v>
      </c>
      <c r="E19" t="s">
        <v>48</v>
      </c>
      <c r="F19" t="s">
        <v>37</v>
      </c>
    </row>
    <row r="20" spans="1:6" x14ac:dyDescent="0.25">
      <c r="A20" t="s">
        <v>49</v>
      </c>
      <c r="B20" t="s">
        <v>50</v>
      </c>
      <c r="C20" t="s">
        <v>51</v>
      </c>
      <c r="D20">
        <v>1</v>
      </c>
      <c r="E20" t="s">
        <v>52</v>
      </c>
      <c r="F20" t="s">
        <v>37</v>
      </c>
    </row>
    <row r="21" spans="1:6" x14ac:dyDescent="0.25">
      <c r="A21" s="5" t="s">
        <v>53</v>
      </c>
      <c r="B21" s="5" t="s">
        <v>54</v>
      </c>
      <c r="C21" s="5">
        <f>D17+D18+D19+D20</f>
        <v>17</v>
      </c>
      <c r="D21" s="5">
        <f>D17+D18+D19+D20</f>
        <v>17</v>
      </c>
      <c r="E21" s="5">
        <f>17</f>
        <v>17</v>
      </c>
      <c r="F21" s="5" t="s">
        <v>55</v>
      </c>
    </row>
    <row r="23" spans="1:6" x14ac:dyDescent="0.25">
      <c r="A23" s="6" t="s">
        <v>56</v>
      </c>
    </row>
    <row r="25" spans="1:6" x14ac:dyDescent="0.25">
      <c r="A25" s="7" t="s">
        <v>57</v>
      </c>
      <c r="B25" s="7" t="s">
        <v>58</v>
      </c>
      <c r="C25" s="7" t="s">
        <v>59</v>
      </c>
      <c r="D25" s="7" t="s">
        <v>60</v>
      </c>
      <c r="E25" s="7" t="s">
        <v>61</v>
      </c>
      <c r="F25" s="7" t="s">
        <v>3</v>
      </c>
    </row>
    <row r="26" spans="1:6" x14ac:dyDescent="0.25">
      <c r="A26" t="s">
        <v>62</v>
      </c>
      <c r="B26" t="s">
        <v>63</v>
      </c>
      <c r="C26" t="s">
        <v>64</v>
      </c>
      <c r="D26">
        <f>POWER(2,4)</f>
        <v>16</v>
      </c>
      <c r="E26" t="s">
        <v>65</v>
      </c>
      <c r="F26" t="s">
        <v>66</v>
      </c>
    </row>
    <row r="27" spans="1:6" x14ac:dyDescent="0.25">
      <c r="A27" t="s">
        <v>67</v>
      </c>
      <c r="B27" t="s">
        <v>68</v>
      </c>
      <c r="C27" t="s">
        <v>69</v>
      </c>
      <c r="D27">
        <f>1+3</f>
        <v>4</v>
      </c>
      <c r="E27" t="s">
        <v>70</v>
      </c>
      <c r="F27" t="s">
        <v>71</v>
      </c>
    </row>
    <row r="28" spans="1:6" x14ac:dyDescent="0.25">
      <c r="A28" t="s">
        <v>72</v>
      </c>
      <c r="B28" t="s">
        <v>73</v>
      </c>
      <c r="C28" t="s">
        <v>74</v>
      </c>
      <c r="D28">
        <f>D26</f>
        <v>16</v>
      </c>
      <c r="E28" t="s">
        <v>75</v>
      </c>
      <c r="F28" t="s">
        <v>76</v>
      </c>
    </row>
    <row r="29" spans="1:6" x14ac:dyDescent="0.25">
      <c r="A29" t="s">
        <v>77</v>
      </c>
      <c r="B29" t="s">
        <v>78</v>
      </c>
      <c r="C29" t="s">
        <v>79</v>
      </c>
      <c r="D29">
        <v>1</v>
      </c>
      <c r="E29" t="s">
        <v>80</v>
      </c>
      <c r="F29" t="s">
        <v>81</v>
      </c>
    </row>
    <row r="30" spans="1:6" x14ac:dyDescent="0.25">
      <c r="A30" s="5" t="s">
        <v>82</v>
      </c>
      <c r="B30" s="5" t="s">
        <v>83</v>
      </c>
      <c r="C30" s="5" t="s">
        <v>84</v>
      </c>
      <c r="D30" s="8">
        <f>D28+D29</f>
        <v>17</v>
      </c>
      <c r="E30" s="5" t="s">
        <v>85</v>
      </c>
      <c r="F30" s="5" t="s">
        <v>86</v>
      </c>
    </row>
    <row r="32" spans="1:6" x14ac:dyDescent="0.25">
      <c r="A32" s="5" t="s">
        <v>87</v>
      </c>
      <c r="B32" s="5" t="str">
        <f>IF(D30=17,"EVET - TURETILDI","HAYIR")</f>
        <v>EVET - TURETILDI</v>
      </c>
    </row>
    <row r="34" spans="1:5" x14ac:dyDescent="0.25">
      <c r="A34" s="9" t="s">
        <v>88</v>
      </c>
    </row>
    <row r="36" spans="1:5" x14ac:dyDescent="0.25">
      <c r="A36" s="10" t="s">
        <v>89</v>
      </c>
      <c r="B36" s="10" t="s">
        <v>90</v>
      </c>
      <c r="C36" s="10" t="s">
        <v>4</v>
      </c>
      <c r="D36" s="10" t="s">
        <v>5</v>
      </c>
      <c r="E36" s="10" t="s">
        <v>91</v>
      </c>
    </row>
    <row r="37" spans="1:5" x14ac:dyDescent="0.25">
      <c r="A37">
        <v>1</v>
      </c>
      <c r="B37" t="s">
        <v>92</v>
      </c>
      <c r="C37">
        <v>1</v>
      </c>
      <c r="D37">
        <v>1</v>
      </c>
    </row>
    <row r="38" spans="1:5" x14ac:dyDescent="0.25">
      <c r="A38">
        <v>2</v>
      </c>
      <c r="B38" t="s">
        <v>93</v>
      </c>
      <c r="C38">
        <v>1</v>
      </c>
      <c r="D38">
        <v>1</v>
      </c>
    </row>
    <row r="39" spans="1:5" x14ac:dyDescent="0.25">
      <c r="A39">
        <v>3</v>
      </c>
      <c r="B39" t="s">
        <v>94</v>
      </c>
      <c r="C39">
        <f t="shared" ref="C39:C44" si="0">D37+D38</f>
        <v>2</v>
      </c>
      <c r="D39">
        <f t="shared" ref="D39:D44" si="1">D37+D38</f>
        <v>2</v>
      </c>
    </row>
    <row r="40" spans="1:5" x14ac:dyDescent="0.25">
      <c r="A40">
        <v>4</v>
      </c>
      <c r="B40" t="s">
        <v>95</v>
      </c>
      <c r="C40">
        <f t="shared" si="0"/>
        <v>3</v>
      </c>
      <c r="D40">
        <f t="shared" si="1"/>
        <v>3</v>
      </c>
    </row>
    <row r="41" spans="1:5" x14ac:dyDescent="0.25">
      <c r="A41">
        <v>5</v>
      </c>
      <c r="B41" t="s">
        <v>96</v>
      </c>
      <c r="C41">
        <f t="shared" si="0"/>
        <v>5</v>
      </c>
      <c r="D41">
        <f t="shared" si="1"/>
        <v>5</v>
      </c>
    </row>
    <row r="42" spans="1:5" x14ac:dyDescent="0.25">
      <c r="A42">
        <v>6</v>
      </c>
      <c r="B42" t="s">
        <v>97</v>
      </c>
      <c r="C42">
        <f t="shared" si="0"/>
        <v>8</v>
      </c>
      <c r="D42">
        <f t="shared" si="1"/>
        <v>8</v>
      </c>
    </row>
    <row r="43" spans="1:5" x14ac:dyDescent="0.25">
      <c r="A43" s="11">
        <v>7</v>
      </c>
      <c r="B43" s="11" t="s">
        <v>98</v>
      </c>
      <c r="C43" s="11">
        <f t="shared" si="0"/>
        <v>13</v>
      </c>
      <c r="D43" s="11">
        <f t="shared" si="1"/>
        <v>13</v>
      </c>
      <c r="E43" s="11">
        <f xml:space="preserve"> 13</f>
        <v>13</v>
      </c>
    </row>
    <row r="44" spans="1:5" x14ac:dyDescent="0.25">
      <c r="A44" s="11">
        <v>8</v>
      </c>
      <c r="B44" s="11" t="s">
        <v>99</v>
      </c>
      <c r="C44" s="11">
        <f t="shared" si="0"/>
        <v>21</v>
      </c>
      <c r="D44" s="11">
        <f t="shared" si="1"/>
        <v>21</v>
      </c>
      <c r="E44" s="11">
        <f xml:space="preserve"> 21</f>
        <v>21</v>
      </c>
    </row>
    <row r="46" spans="1:5" x14ac:dyDescent="0.25">
      <c r="A46" s="5" t="s">
        <v>100</v>
      </c>
    </row>
    <row r="47" spans="1:5" x14ac:dyDescent="0.25">
      <c r="A47" t="s">
        <v>101</v>
      </c>
      <c r="B47">
        <f>D43+D44</f>
        <v>34</v>
      </c>
    </row>
    <row r="48" spans="1:5" x14ac:dyDescent="0.25">
      <c r="A48" t="s">
        <v>102</v>
      </c>
      <c r="B48" s="8">
        <f>(D43+D44)/2</f>
        <v>17</v>
      </c>
    </row>
    <row r="49" spans="1:5" x14ac:dyDescent="0.25">
      <c r="A49" t="s">
        <v>103</v>
      </c>
      <c r="B49" s="5" t="str">
        <f>IF(B48=17,"EVET - TURETILDI","HAYIR")</f>
        <v>EVET - TURETILDI</v>
      </c>
    </row>
    <row r="51" spans="1:5" x14ac:dyDescent="0.25">
      <c r="A51" s="12" t="s">
        <v>104</v>
      </c>
    </row>
    <row r="53" spans="1:5" x14ac:dyDescent="0.25">
      <c r="A53" s="13" t="s">
        <v>89</v>
      </c>
      <c r="B53" s="13" t="s">
        <v>105</v>
      </c>
      <c r="C53" s="13" t="s">
        <v>106</v>
      </c>
      <c r="D53" s="13" t="s">
        <v>107</v>
      </c>
      <c r="E53" s="13" t="s">
        <v>108</v>
      </c>
    </row>
    <row r="54" spans="1:5" x14ac:dyDescent="0.25">
      <c r="A54">
        <v>0</v>
      </c>
      <c r="B54">
        <f t="shared" ref="B54:C58" si="2">POWER(2,A54)</f>
        <v>1</v>
      </c>
      <c r="C54">
        <f t="shared" si="2"/>
        <v>2</v>
      </c>
      <c r="D54">
        <f>C54+1</f>
        <v>3</v>
      </c>
      <c r="E54" t="s">
        <v>109</v>
      </c>
    </row>
    <row r="55" spans="1:5" x14ac:dyDescent="0.25">
      <c r="A55">
        <v>1</v>
      </c>
      <c r="B55">
        <f t="shared" si="2"/>
        <v>2</v>
      </c>
      <c r="C55">
        <f t="shared" si="2"/>
        <v>4</v>
      </c>
      <c r="D55">
        <f>C55+1</f>
        <v>5</v>
      </c>
      <c r="E55" t="s">
        <v>110</v>
      </c>
    </row>
    <row r="56" spans="1:5" x14ac:dyDescent="0.25">
      <c r="A56" s="8">
        <v>2</v>
      </c>
      <c r="B56" s="8">
        <f t="shared" si="2"/>
        <v>4</v>
      </c>
      <c r="C56" s="8">
        <f t="shared" si="2"/>
        <v>16</v>
      </c>
      <c r="D56" s="8">
        <f>C56+1</f>
        <v>17</v>
      </c>
      <c r="E56" s="8" t="s">
        <v>111</v>
      </c>
    </row>
    <row r="57" spans="1:5" x14ac:dyDescent="0.25">
      <c r="A57">
        <v>3</v>
      </c>
      <c r="B57">
        <f t="shared" si="2"/>
        <v>8</v>
      </c>
      <c r="C57">
        <f t="shared" si="2"/>
        <v>256</v>
      </c>
      <c r="D57">
        <f>C57+1</f>
        <v>257</v>
      </c>
      <c r="E57" t="s">
        <v>112</v>
      </c>
    </row>
    <row r="58" spans="1:5" x14ac:dyDescent="0.25">
      <c r="A58">
        <v>4</v>
      </c>
      <c r="B58">
        <f t="shared" si="2"/>
        <v>16</v>
      </c>
      <c r="C58">
        <f t="shared" si="2"/>
        <v>65536</v>
      </c>
      <c r="D58">
        <f>C58+1</f>
        <v>65537</v>
      </c>
      <c r="E58" t="s">
        <v>113</v>
      </c>
    </row>
    <row r="60" spans="1:5" x14ac:dyDescent="0.25">
      <c r="A60" s="5" t="s">
        <v>114</v>
      </c>
    </row>
    <row r="61" spans="1:5" x14ac:dyDescent="0.25">
      <c r="A61" t="s">
        <v>115</v>
      </c>
      <c r="B61" s="5" t="str">
        <f>IF(D56=17,"17 = 3. FERMAT ASALI - TURETILDI","HAYIR")</f>
        <v>17 = 3. FERMAT ASALI - TURETILDI</v>
      </c>
    </row>
    <row r="63" spans="1:5" x14ac:dyDescent="0.25">
      <c r="A63" s="14" t="s">
        <v>116</v>
      </c>
    </row>
    <row r="65" spans="1:6" ht="15.75" x14ac:dyDescent="0.25">
      <c r="A65" s="15" t="s">
        <v>117</v>
      </c>
    </row>
    <row r="67" spans="1:6" x14ac:dyDescent="0.25">
      <c r="A67" s="16" t="s">
        <v>3</v>
      </c>
      <c r="B67" s="16" t="s">
        <v>4</v>
      </c>
      <c r="C67" s="16" t="s">
        <v>60</v>
      </c>
      <c r="D67" s="16" t="s">
        <v>118</v>
      </c>
      <c r="E67" s="16" t="s">
        <v>8</v>
      </c>
    </row>
    <row r="68" spans="1:6" x14ac:dyDescent="0.25">
      <c r="A68" t="s">
        <v>119</v>
      </c>
      <c r="B68" t="s">
        <v>120</v>
      </c>
      <c r="C68">
        <f>(13+21)/2</f>
        <v>17</v>
      </c>
      <c r="D68" t="b">
        <f>C68=17</f>
        <v>1</v>
      </c>
      <c r="E68" t="str">
        <f>IF(D68,"OK","X")</f>
        <v>OK</v>
      </c>
    </row>
    <row r="69" spans="1:6" x14ac:dyDescent="0.25">
      <c r="A69" t="s">
        <v>121</v>
      </c>
      <c r="B69" t="s">
        <v>122</v>
      </c>
      <c r="C69">
        <f>POWER(2,4)+1</f>
        <v>17</v>
      </c>
      <c r="D69" t="b">
        <f>C69=17</f>
        <v>1</v>
      </c>
      <c r="E69" t="str">
        <f>IF(D69,"OK","X")</f>
        <v>OK</v>
      </c>
    </row>
    <row r="70" spans="1:6" x14ac:dyDescent="0.25">
      <c r="A70" t="s">
        <v>123</v>
      </c>
      <c r="B70" t="s">
        <v>124</v>
      </c>
      <c r="C70">
        <f>POWER(2,POWER(2,2))+1</f>
        <v>17</v>
      </c>
      <c r="D70" t="b">
        <f>C70=17</f>
        <v>1</v>
      </c>
      <c r="E70" t="str">
        <f>IF(D70,"OK","X")</f>
        <v>OK</v>
      </c>
    </row>
    <row r="71" spans="1:6" x14ac:dyDescent="0.25">
      <c r="A71" t="s">
        <v>125</v>
      </c>
      <c r="B71" t="s">
        <v>36</v>
      </c>
      <c r="C71">
        <f>6+6+4+1</f>
        <v>17</v>
      </c>
      <c r="D71" t="b">
        <f>C71=17</f>
        <v>1</v>
      </c>
      <c r="E71" t="str">
        <f>IF(D71,"OK","X")</f>
        <v>OK</v>
      </c>
    </row>
    <row r="72" spans="1:6" x14ac:dyDescent="0.25">
      <c r="A72" t="s">
        <v>126</v>
      </c>
      <c r="B72" t="s">
        <v>127</v>
      </c>
      <c r="C72">
        <f>16+1</f>
        <v>17</v>
      </c>
      <c r="D72" t="b">
        <f>C72=17</f>
        <v>1</v>
      </c>
      <c r="E72" t="str">
        <f>IF(D72,"OK","X")</f>
        <v>OK</v>
      </c>
    </row>
    <row r="74" spans="1:6" x14ac:dyDescent="0.25">
      <c r="A74" s="5" t="s">
        <v>128</v>
      </c>
      <c r="B74" s="5">
        <f>COUNTIF(D68:D72,TRUE)</f>
        <v>5</v>
      </c>
      <c r="C74" s="5" t="s">
        <v>129</v>
      </c>
    </row>
    <row r="76" spans="1:6" x14ac:dyDescent="0.25">
      <c r="A76" s="17" t="s">
        <v>130</v>
      </c>
    </row>
    <row r="78" spans="1:6" x14ac:dyDescent="0.25">
      <c r="A78" s="18" t="s">
        <v>2</v>
      </c>
      <c r="B78" s="18" t="s">
        <v>131</v>
      </c>
      <c r="C78" s="18" t="s">
        <v>61</v>
      </c>
      <c r="D78" s="18" t="s">
        <v>132</v>
      </c>
      <c r="E78" s="18" t="s">
        <v>133</v>
      </c>
      <c r="F78" s="18" t="s">
        <v>8</v>
      </c>
    </row>
    <row r="79" spans="1:6" x14ac:dyDescent="0.25">
      <c r="A79" t="s">
        <v>134</v>
      </c>
      <c r="B79" t="s">
        <v>135</v>
      </c>
      <c r="C79" t="s">
        <v>136</v>
      </c>
      <c r="D79" t="s">
        <v>137</v>
      </c>
      <c r="E79" t="s">
        <v>138</v>
      </c>
      <c r="F79" t="s">
        <v>139</v>
      </c>
    </row>
    <row r="80" spans="1:6" x14ac:dyDescent="0.25">
      <c r="A80" t="s">
        <v>140</v>
      </c>
      <c r="B80" t="s">
        <v>141</v>
      </c>
      <c r="C80" t="s">
        <v>142</v>
      </c>
      <c r="D80" t="s">
        <v>137</v>
      </c>
      <c r="E80" t="s">
        <v>143</v>
      </c>
      <c r="F80" t="s">
        <v>139</v>
      </c>
    </row>
    <row r="81" spans="1:6" x14ac:dyDescent="0.25">
      <c r="A81" t="s">
        <v>144</v>
      </c>
      <c r="B81" t="s">
        <v>145</v>
      </c>
      <c r="C81" t="s">
        <v>146</v>
      </c>
      <c r="D81" t="s">
        <v>147</v>
      </c>
      <c r="E81" t="s">
        <v>71</v>
      </c>
      <c r="F81" t="s">
        <v>139</v>
      </c>
    </row>
    <row r="82" spans="1:6" x14ac:dyDescent="0.25">
      <c r="A82" t="s">
        <v>148</v>
      </c>
      <c r="B82" t="s">
        <v>149</v>
      </c>
      <c r="C82" t="s">
        <v>150</v>
      </c>
      <c r="D82" t="s">
        <v>137</v>
      </c>
      <c r="E82" t="s">
        <v>143</v>
      </c>
      <c r="F82" t="s">
        <v>139</v>
      </c>
    </row>
    <row r="83" spans="1:6" x14ac:dyDescent="0.25">
      <c r="A83" t="s">
        <v>151</v>
      </c>
      <c r="B83" t="s">
        <v>152</v>
      </c>
      <c r="C83" t="s">
        <v>153</v>
      </c>
      <c r="D83" t="s">
        <v>147</v>
      </c>
      <c r="E83" t="s">
        <v>143</v>
      </c>
      <c r="F83" t="s">
        <v>139</v>
      </c>
    </row>
    <row r="84" spans="1:6" x14ac:dyDescent="0.25">
      <c r="A84" t="s">
        <v>154</v>
      </c>
      <c r="B84" t="s">
        <v>155</v>
      </c>
      <c r="C84" t="s">
        <v>156</v>
      </c>
      <c r="D84" t="s">
        <v>147</v>
      </c>
      <c r="E84" t="s">
        <v>157</v>
      </c>
      <c r="F84" t="s">
        <v>139</v>
      </c>
    </row>
    <row r="85" spans="1:6" x14ac:dyDescent="0.25">
      <c r="A85" t="s">
        <v>158</v>
      </c>
      <c r="B85" t="s">
        <v>159</v>
      </c>
      <c r="C85" t="s">
        <v>160</v>
      </c>
      <c r="D85" t="s">
        <v>161</v>
      </c>
      <c r="E85" t="s">
        <v>143</v>
      </c>
      <c r="F85" t="s">
        <v>139</v>
      </c>
    </row>
    <row r="86" spans="1:6" x14ac:dyDescent="0.25">
      <c r="A86" t="s">
        <v>162</v>
      </c>
      <c r="B86" t="s">
        <v>163</v>
      </c>
      <c r="C86" t="s">
        <v>164</v>
      </c>
      <c r="D86" t="s">
        <v>161</v>
      </c>
      <c r="E86" t="s">
        <v>138</v>
      </c>
      <c r="F86" t="s">
        <v>139</v>
      </c>
    </row>
    <row r="87" spans="1:6" x14ac:dyDescent="0.25">
      <c r="A87" t="s">
        <v>165</v>
      </c>
      <c r="B87" t="s">
        <v>166</v>
      </c>
      <c r="C87" t="s">
        <v>167</v>
      </c>
      <c r="D87" t="s">
        <v>147</v>
      </c>
      <c r="E87" t="s">
        <v>138</v>
      </c>
      <c r="F87" t="s">
        <v>139</v>
      </c>
    </row>
    <row r="88" spans="1:6" x14ac:dyDescent="0.25">
      <c r="A88" t="s">
        <v>168</v>
      </c>
      <c r="B88" t="s">
        <v>169</v>
      </c>
      <c r="C88" t="s">
        <v>170</v>
      </c>
      <c r="D88" t="s">
        <v>137</v>
      </c>
      <c r="E88" t="s">
        <v>143</v>
      </c>
      <c r="F88" t="s">
        <v>171</v>
      </c>
    </row>
    <row r="90" spans="1:6" x14ac:dyDescent="0.25">
      <c r="A90" s="8" t="s">
        <v>172</v>
      </c>
    </row>
    <row r="92" spans="1:6" x14ac:dyDescent="0.25">
      <c r="A92" s="4" t="s">
        <v>2</v>
      </c>
      <c r="B92" s="4" t="s">
        <v>173</v>
      </c>
      <c r="C92" s="4" t="s">
        <v>174</v>
      </c>
      <c r="D92" s="4" t="s">
        <v>6</v>
      </c>
      <c r="E92" s="4" t="s">
        <v>8</v>
      </c>
    </row>
    <row r="93" spans="1:6" x14ac:dyDescent="0.25">
      <c r="A93" t="s">
        <v>62</v>
      </c>
      <c r="B93" t="s">
        <v>175</v>
      </c>
      <c r="C93" t="s">
        <v>176</v>
      </c>
      <c r="D93" t="s">
        <v>177</v>
      </c>
      <c r="E93" t="s">
        <v>178</v>
      </c>
    </row>
    <row r="94" spans="1:6" x14ac:dyDescent="0.25">
      <c r="A94" t="s">
        <v>67</v>
      </c>
      <c r="B94" t="s">
        <v>179</v>
      </c>
      <c r="C94" t="s">
        <v>180</v>
      </c>
      <c r="D94" t="s">
        <v>181</v>
      </c>
      <c r="E94" t="s">
        <v>178</v>
      </c>
    </row>
    <row r="95" spans="1:6" x14ac:dyDescent="0.25">
      <c r="A95" t="s">
        <v>72</v>
      </c>
      <c r="B95" t="s">
        <v>182</v>
      </c>
      <c r="C95" t="s">
        <v>183</v>
      </c>
      <c r="D95" t="s">
        <v>184</v>
      </c>
      <c r="E95" t="s">
        <v>178</v>
      </c>
    </row>
    <row r="96" spans="1:6" x14ac:dyDescent="0.25">
      <c r="A96" t="s">
        <v>77</v>
      </c>
      <c r="B96" t="s">
        <v>185</v>
      </c>
      <c r="C96" t="s">
        <v>186</v>
      </c>
      <c r="D96" t="s">
        <v>184</v>
      </c>
      <c r="E96" t="s">
        <v>178</v>
      </c>
    </row>
    <row r="97" spans="1:5" x14ac:dyDescent="0.25">
      <c r="A97" t="s">
        <v>82</v>
      </c>
      <c r="B97" t="s">
        <v>187</v>
      </c>
      <c r="C97" t="s">
        <v>188</v>
      </c>
      <c r="D97" t="s">
        <v>189</v>
      </c>
      <c r="E97" t="s">
        <v>178</v>
      </c>
    </row>
    <row r="99" spans="1:5" x14ac:dyDescent="0.25">
      <c r="A99" s="2" t="s">
        <v>190</v>
      </c>
    </row>
    <row r="101" spans="1:5" x14ac:dyDescent="0.25">
      <c r="A101" s="16" t="s">
        <v>191</v>
      </c>
      <c r="B101" s="16" t="s">
        <v>5</v>
      </c>
      <c r="C101" s="16" t="s">
        <v>192</v>
      </c>
      <c r="D101" s="16" t="s">
        <v>8</v>
      </c>
    </row>
    <row r="102" spans="1:5" x14ac:dyDescent="0.25">
      <c r="A102" t="s">
        <v>193</v>
      </c>
      <c r="B102">
        <v>5</v>
      </c>
      <c r="C102">
        <v>5</v>
      </c>
      <c r="D102" t="s">
        <v>14</v>
      </c>
    </row>
    <row r="103" spans="1:5" x14ac:dyDescent="0.25">
      <c r="A103" t="s">
        <v>194</v>
      </c>
      <c r="B103" s="19">
        <v>1</v>
      </c>
      <c r="C103" s="19">
        <v>1</v>
      </c>
      <c r="D103" t="s">
        <v>14</v>
      </c>
    </row>
    <row r="104" spans="1:5" x14ac:dyDescent="0.25">
      <c r="A104" t="s">
        <v>195</v>
      </c>
      <c r="B104" s="19">
        <v>0.85</v>
      </c>
      <c r="C104" s="19">
        <v>1</v>
      </c>
      <c r="D104" t="s">
        <v>196</v>
      </c>
    </row>
    <row r="105" spans="1:5" x14ac:dyDescent="0.25">
      <c r="A105" t="s">
        <v>197</v>
      </c>
      <c r="B105" s="19">
        <v>0.7</v>
      </c>
      <c r="C105" s="19">
        <v>1</v>
      </c>
      <c r="D105" t="s">
        <v>196</v>
      </c>
    </row>
    <row r="106" spans="1:5" x14ac:dyDescent="0.25">
      <c r="A106" t="s">
        <v>198</v>
      </c>
      <c r="B106" s="19">
        <v>10</v>
      </c>
      <c r="C106" s="19">
        <v>0</v>
      </c>
      <c r="D106" t="s">
        <v>199</v>
      </c>
    </row>
    <row r="108" spans="1:5" x14ac:dyDescent="0.25">
      <c r="A108" s="14" t="s">
        <v>200</v>
      </c>
    </row>
    <row r="110" spans="1:5" x14ac:dyDescent="0.25">
      <c r="A110" s="5" t="s">
        <v>201</v>
      </c>
    </row>
    <row r="111" spans="1:5" x14ac:dyDescent="0.25">
      <c r="A111" s="5" t="s">
        <v>202</v>
      </c>
    </row>
    <row r="113" spans="1:1" x14ac:dyDescent="0.25">
      <c r="A113" s="5" t="s">
        <v>203</v>
      </c>
    </row>
    <row r="114" spans="1:1" x14ac:dyDescent="0.25">
      <c r="A114" s="5" t="s">
        <v>204</v>
      </c>
    </row>
    <row r="115" spans="1:1" x14ac:dyDescent="0.25">
      <c r="A115" s="5" t="s">
        <v>205</v>
      </c>
    </row>
    <row r="116" spans="1:1" x14ac:dyDescent="0.25">
      <c r="A116" s="5" t="s">
        <v>206</v>
      </c>
    </row>
    <row r="117" spans="1:1" x14ac:dyDescent="0.25">
      <c r="A117" s="5" t="s">
        <v>207</v>
      </c>
    </row>
    <row r="118" spans="1:1" x14ac:dyDescent="0.25">
      <c r="A118" s="5" t="s">
        <v>208</v>
      </c>
    </row>
    <row r="120" spans="1:1" x14ac:dyDescent="0.25">
      <c r="A120" s="5" t="s">
        <v>209</v>
      </c>
    </row>
    <row r="121" spans="1:1" x14ac:dyDescent="0.25">
      <c r="A121" s="5" t="s">
        <v>210</v>
      </c>
    </row>
    <row r="122" spans="1:1" x14ac:dyDescent="0.25">
      <c r="A122" s="5" t="s">
        <v>211</v>
      </c>
    </row>
    <row r="123" spans="1:1" x14ac:dyDescent="0.25">
      <c r="A123" s="5" t="s">
        <v>212</v>
      </c>
    </row>
    <row r="124" spans="1:1" x14ac:dyDescent="0.25">
      <c r="A124" s="5" t="s">
        <v>213</v>
      </c>
    </row>
    <row r="125" spans="1:1" x14ac:dyDescent="0.25">
      <c r="A125" s="5" t="s">
        <v>214</v>
      </c>
    </row>
    <row r="126" spans="1:1" x14ac:dyDescent="0.25">
      <c r="A126" s="5" t="s">
        <v>215</v>
      </c>
    </row>
    <row r="127" spans="1:1" x14ac:dyDescent="0.25">
      <c r="A127" s="5" t="s">
        <v>216</v>
      </c>
    </row>
    <row r="128" spans="1:1" x14ac:dyDescent="0.25">
      <c r="A128" s="5" t="s">
        <v>217</v>
      </c>
    </row>
    <row r="129" spans="1:1" x14ac:dyDescent="0.25">
      <c r="A129" s="5" t="s">
        <v>218</v>
      </c>
    </row>
    <row r="130" spans="1:1" x14ac:dyDescent="0.25">
      <c r="A130" s="5" t="s">
        <v>219</v>
      </c>
    </row>
    <row r="132" spans="1:1" x14ac:dyDescent="0.25">
      <c r="A132" s="20" t="s">
        <v>220</v>
      </c>
    </row>
    <row r="133" spans="1:1" x14ac:dyDescent="0.25">
      <c r="A133" s="5" t="s">
        <v>221</v>
      </c>
    </row>
    <row r="134" spans="1:1" x14ac:dyDescent="0.25">
      <c r="A134" s="5" t="s">
        <v>222</v>
      </c>
    </row>
    <row r="135" spans="1:1" x14ac:dyDescent="0.25">
      <c r="A135" s="5" t="s">
        <v>223</v>
      </c>
    </row>
    <row r="136" spans="1:1" x14ac:dyDescent="0.25">
      <c r="A136" s="5" t="s">
        <v>224</v>
      </c>
    </row>
    <row r="138" spans="1:1" x14ac:dyDescent="0.25">
      <c r="A138" s="9" t="s">
        <v>225</v>
      </c>
    </row>
    <row r="140" spans="1:1" x14ac:dyDescent="0.25">
      <c r="A140" s="5" t="s">
        <v>226</v>
      </c>
    </row>
    <row r="141" spans="1:1" x14ac:dyDescent="0.25">
      <c r="A141" t="s">
        <v>227</v>
      </c>
    </row>
    <row r="142" spans="1:1" x14ac:dyDescent="0.25">
      <c r="A142" t="s">
        <v>228</v>
      </c>
    </row>
    <row r="143" spans="1:1" x14ac:dyDescent="0.25">
      <c r="A143" t="s">
        <v>229</v>
      </c>
    </row>
    <row r="144" spans="1:1" x14ac:dyDescent="0.25">
      <c r="A144" t="s">
        <v>230</v>
      </c>
    </row>
    <row r="145" spans="1:3" x14ac:dyDescent="0.25">
      <c r="A145" t="s">
        <v>231</v>
      </c>
    </row>
    <row r="146" spans="1:3" x14ac:dyDescent="0.25">
      <c r="A146" t="s">
        <v>232</v>
      </c>
    </row>
    <row r="147" spans="1:3" x14ac:dyDescent="0.25">
      <c r="A147" t="s">
        <v>233</v>
      </c>
    </row>
    <row r="148" spans="1:3" x14ac:dyDescent="0.25">
      <c r="A148" t="s">
        <v>234</v>
      </c>
    </row>
    <row r="150" spans="1:3" ht="15.75" x14ac:dyDescent="0.25">
      <c r="A150" s="15" t="s">
        <v>235</v>
      </c>
    </row>
    <row r="151" spans="1:3" x14ac:dyDescent="0.25">
      <c r="A151" s="5" t="s">
        <v>236</v>
      </c>
    </row>
    <row r="153" spans="1:3" x14ac:dyDescent="0.25">
      <c r="A153" t="s">
        <v>237</v>
      </c>
      <c r="B153" s="8">
        <f>POWER(2,1+3)+1</f>
        <v>17</v>
      </c>
      <c r="C153" t="str">
        <f>IF(B153=17,"17 TURETILDI","HATA")</f>
        <v>17 TURETILDI</v>
      </c>
    </row>
    <row r="155" spans="1:3" x14ac:dyDescent="0.25">
      <c r="A155" s="2" t="s">
        <v>238</v>
      </c>
    </row>
    <row r="156" spans="1:3" x14ac:dyDescent="0.25">
      <c r="A156" t="s">
        <v>239</v>
      </c>
    </row>
    <row r="157" spans="1:3" x14ac:dyDescent="0.25">
      <c r="A157" t="s">
        <v>240</v>
      </c>
    </row>
    <row r="158" spans="1:3" x14ac:dyDescent="0.25">
      <c r="A158" t="s">
        <v>241</v>
      </c>
    </row>
    <row r="159" spans="1:3" x14ac:dyDescent="0.25">
      <c r="A159" s="5" t="s">
        <v>242</v>
      </c>
    </row>
    <row r="161" spans="1:1" x14ac:dyDescent="0.25">
      <c r="A161" s="12" t="s">
        <v>243</v>
      </c>
    </row>
    <row r="163" spans="1:1" x14ac:dyDescent="0.25">
      <c r="A163" s="18" t="s">
        <v>244</v>
      </c>
    </row>
    <row r="164" spans="1:1" x14ac:dyDescent="0.25">
      <c r="A164" t="s">
        <v>245</v>
      </c>
    </row>
    <row r="165" spans="1:1" x14ac:dyDescent="0.25">
      <c r="A165" t="s">
        <v>246</v>
      </c>
    </row>
    <row r="166" spans="1:1" x14ac:dyDescent="0.25">
      <c r="A166" t="s">
        <v>247</v>
      </c>
    </row>
    <row r="167" spans="1:1" x14ac:dyDescent="0.25">
      <c r="A167" t="s">
        <v>248</v>
      </c>
    </row>
    <row r="168" spans="1:1" x14ac:dyDescent="0.25">
      <c r="A168" t="s">
        <v>249</v>
      </c>
    </row>
    <row r="169" spans="1:1" x14ac:dyDescent="0.25">
      <c r="A169" t="s">
        <v>250</v>
      </c>
    </row>
    <row r="171" spans="1:1" x14ac:dyDescent="0.25">
      <c r="A171" s="18" t="s">
        <v>251</v>
      </c>
    </row>
    <row r="172" spans="1:1" x14ac:dyDescent="0.25">
      <c r="A172" t="s">
        <v>252</v>
      </c>
    </row>
    <row r="173" spans="1:1" x14ac:dyDescent="0.25">
      <c r="A173" t="s">
        <v>246</v>
      </c>
    </row>
    <row r="174" spans="1:1" x14ac:dyDescent="0.25">
      <c r="A174" t="s">
        <v>253</v>
      </c>
    </row>
    <row r="175" spans="1:1" x14ac:dyDescent="0.25">
      <c r="A175" t="s">
        <v>254</v>
      </c>
    </row>
    <row r="176" spans="1:1" x14ac:dyDescent="0.25">
      <c r="A176" t="s">
        <v>255</v>
      </c>
    </row>
    <row r="178" spans="1:1" x14ac:dyDescent="0.25">
      <c r="A178" s="1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259</v>
      </c>
    </row>
    <row r="182" spans="1:1" x14ac:dyDescent="0.25">
      <c r="A182" t="s">
        <v>260</v>
      </c>
    </row>
    <row r="184" spans="1:1" x14ac:dyDescent="0.25">
      <c r="A184" s="18" t="s">
        <v>261</v>
      </c>
    </row>
    <row r="185" spans="1:1" x14ac:dyDescent="0.25">
      <c r="A185" t="s">
        <v>262</v>
      </c>
    </row>
    <row r="186" spans="1:1" x14ac:dyDescent="0.25">
      <c r="A186" t="s">
        <v>246</v>
      </c>
    </row>
    <row r="187" spans="1:1" x14ac:dyDescent="0.25">
      <c r="A187" t="s">
        <v>263</v>
      </c>
    </row>
    <row r="188" spans="1:1" x14ac:dyDescent="0.25">
      <c r="A188" t="s">
        <v>264</v>
      </c>
    </row>
    <row r="189" spans="1:1" x14ac:dyDescent="0.25">
      <c r="A189" t="s">
        <v>265</v>
      </c>
    </row>
    <row r="190" spans="1:1" x14ac:dyDescent="0.25">
      <c r="A190" t="s">
        <v>266</v>
      </c>
    </row>
    <row r="192" spans="1:1" x14ac:dyDescent="0.25">
      <c r="A192" s="14" t="s">
        <v>267</v>
      </c>
    </row>
    <row r="194" spans="1:6" x14ac:dyDescent="0.25">
      <c r="A194" s="16" t="s">
        <v>268</v>
      </c>
      <c r="B194" s="16" t="s">
        <v>269</v>
      </c>
      <c r="C194" s="16" t="s">
        <v>270</v>
      </c>
      <c r="D194" s="16" t="s">
        <v>271</v>
      </c>
      <c r="E194" s="16" t="s">
        <v>192</v>
      </c>
      <c r="F194" s="16" t="s">
        <v>272</v>
      </c>
    </row>
    <row r="195" spans="1:6" x14ac:dyDescent="0.25">
      <c r="A195" t="s">
        <v>273</v>
      </c>
      <c r="B195">
        <v>0</v>
      </c>
      <c r="C195" s="21">
        <v>100</v>
      </c>
      <c r="D195">
        <f t="shared" ref="D195:D200" si="3">C195-B195</f>
        <v>100</v>
      </c>
      <c r="E195">
        <v>100</v>
      </c>
      <c r="F195">
        <f t="shared" ref="F195:F200" si="4">E195-C195</f>
        <v>0</v>
      </c>
    </row>
    <row r="196" spans="1:6" x14ac:dyDescent="0.25">
      <c r="A196" t="s">
        <v>195</v>
      </c>
      <c r="B196">
        <v>70</v>
      </c>
      <c r="C196">
        <v>85</v>
      </c>
      <c r="D196">
        <f t="shared" si="3"/>
        <v>15</v>
      </c>
      <c r="E196">
        <v>100</v>
      </c>
      <c r="F196">
        <f t="shared" si="4"/>
        <v>15</v>
      </c>
    </row>
    <row r="197" spans="1:6" x14ac:dyDescent="0.25">
      <c r="A197" t="s">
        <v>197</v>
      </c>
      <c r="B197">
        <v>55</v>
      </c>
      <c r="C197">
        <v>70</v>
      </c>
      <c r="D197">
        <f t="shared" si="3"/>
        <v>15</v>
      </c>
      <c r="E197">
        <v>100</v>
      </c>
      <c r="F197">
        <f t="shared" si="4"/>
        <v>30</v>
      </c>
    </row>
    <row r="198" spans="1:6" x14ac:dyDescent="0.25">
      <c r="A198" t="s">
        <v>274</v>
      </c>
      <c r="B198">
        <v>20</v>
      </c>
      <c r="C198">
        <v>25</v>
      </c>
      <c r="D198">
        <f t="shared" si="3"/>
        <v>5</v>
      </c>
      <c r="E198">
        <v>70</v>
      </c>
      <c r="F198">
        <f t="shared" si="4"/>
        <v>45</v>
      </c>
    </row>
    <row r="199" spans="1:6" x14ac:dyDescent="0.25">
      <c r="A199" t="s">
        <v>275</v>
      </c>
      <c r="B199">
        <v>30</v>
      </c>
      <c r="C199">
        <v>35</v>
      </c>
      <c r="D199">
        <f t="shared" si="3"/>
        <v>5</v>
      </c>
      <c r="E199">
        <v>80</v>
      </c>
      <c r="F199">
        <f t="shared" si="4"/>
        <v>45</v>
      </c>
    </row>
    <row r="200" spans="1:6" x14ac:dyDescent="0.25">
      <c r="A200" t="s">
        <v>276</v>
      </c>
      <c r="B200">
        <v>90</v>
      </c>
      <c r="C200">
        <v>92</v>
      </c>
      <c r="D200">
        <f t="shared" si="3"/>
        <v>2</v>
      </c>
      <c r="E200">
        <v>95</v>
      </c>
      <c r="F200">
        <f t="shared" si="4"/>
        <v>3</v>
      </c>
    </row>
    <row r="202" spans="1:6" x14ac:dyDescent="0.25">
      <c r="A202" s="5" t="s">
        <v>277</v>
      </c>
      <c r="B202" s="5">
        <f>AVERAGE(B195:B200)</f>
        <v>44.166666666666664</v>
      </c>
      <c r="C202" s="5">
        <f>AVERAGE(C195:C200)</f>
        <v>67.833333333333329</v>
      </c>
      <c r="D202" s="5">
        <f>C202-B202</f>
        <v>23.666666666666664</v>
      </c>
      <c r="E202" s="5">
        <f>AVERAGE(E195:E200)</f>
        <v>90.833333333333329</v>
      </c>
      <c r="F202" s="5">
        <f>E202-C202</f>
        <v>23</v>
      </c>
    </row>
    <row r="204" spans="1:6" x14ac:dyDescent="0.25">
      <c r="A204" s="5" t="s">
        <v>278</v>
      </c>
    </row>
    <row r="205" spans="1:6" x14ac:dyDescent="0.25">
      <c r="A205" t="str">
        <f>"Onceki: "&amp;ROUND(B202,1)&amp;"% -&gt; Simdi: "&amp;ROUND(C202,1)&amp;"% (+"&amp;ROUND(D202,1)&amp;"%)"</f>
        <v>Onceki: 44,2% -&gt; Simdi: 67,8% (+23,7%)</v>
      </c>
    </row>
    <row r="207" spans="1:6" ht="18.75" x14ac:dyDescent="0.3">
      <c r="A207" s="22" t="s">
        <v>279</v>
      </c>
    </row>
    <row r="209" spans="1:1" ht="15.75" x14ac:dyDescent="0.25">
      <c r="A209" s="23" t="s">
        <v>280</v>
      </c>
    </row>
    <row r="211" spans="1:1" x14ac:dyDescent="0.25">
      <c r="A211" s="5" t="s">
        <v>281</v>
      </c>
    </row>
    <row r="212" spans="1:1" x14ac:dyDescent="0.25">
      <c r="A212" t="s">
        <v>282</v>
      </c>
    </row>
    <row r="213" spans="1:1" x14ac:dyDescent="0.25">
      <c r="A213" t="s">
        <v>283</v>
      </c>
    </row>
    <row r="214" spans="1:1" x14ac:dyDescent="0.25">
      <c r="A214" t="s">
        <v>284</v>
      </c>
    </row>
    <row r="215" spans="1:1" x14ac:dyDescent="0.25">
      <c r="A215" t="s">
        <v>285</v>
      </c>
    </row>
    <row r="216" spans="1:1" x14ac:dyDescent="0.25">
      <c r="A216" t="s">
        <v>286</v>
      </c>
    </row>
    <row r="218" spans="1:1" x14ac:dyDescent="0.25">
      <c r="A218" s="5" t="s">
        <v>287</v>
      </c>
    </row>
    <row r="219" spans="1:1" x14ac:dyDescent="0.25">
      <c r="A219" t="s">
        <v>288</v>
      </c>
    </row>
    <row r="220" spans="1:1" x14ac:dyDescent="0.25">
      <c r="A220" t="s">
        <v>289</v>
      </c>
    </row>
    <row r="221" spans="1:1" x14ac:dyDescent="0.25">
      <c r="A221" t="s">
        <v>290</v>
      </c>
    </row>
    <row r="222" spans="1:1" x14ac:dyDescent="0.25">
      <c r="A222" t="s">
        <v>291</v>
      </c>
    </row>
    <row r="224" spans="1:1" x14ac:dyDescent="0.25">
      <c r="A224" s="24" t="s">
        <v>292</v>
      </c>
    </row>
    <row r="225" spans="1:3" x14ac:dyDescent="0.25">
      <c r="A225" t="s">
        <v>293</v>
      </c>
    </row>
    <row r="226" spans="1:3" x14ac:dyDescent="0.25">
      <c r="A226" t="s">
        <v>294</v>
      </c>
    </row>
    <row r="227" spans="1:3" x14ac:dyDescent="0.25">
      <c r="A227" t="s">
        <v>295</v>
      </c>
    </row>
    <row r="229" spans="1:3" x14ac:dyDescent="0.25">
      <c r="A229" s="5" t="s">
        <v>296</v>
      </c>
      <c r="B229">
        <f>ROUND(C202,1)</f>
        <v>67.8</v>
      </c>
      <c r="C229" t="s">
        <v>297</v>
      </c>
    </row>
    <row r="230" spans="1:3" x14ac:dyDescent="0.25">
      <c r="A23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17-Türetim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2026-04-23T11:00:24Z</dcterms:created>
  <dcterms:modified xsi:type="dcterms:W3CDTF">2026-04-23T11:00:24Z</dcterms:modified>
</cp:coreProperties>
</file>