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0F21A911-E7ED-4DE3-B90C-0A96DC1E8A0B}" xr6:coauthVersionLast="47" xr6:coauthVersionMax="47" xr10:uidLastSave="{00000000-0000-0000-0000-000000000000}"/>
  <bookViews>
    <workbookView xWindow="-120" yWindow="-120" windowWidth="29040" windowHeight="15720" xr2:uid="{E377CADE-27B3-4D39-95AC-7C11B6524C18}"/>
  </bookViews>
  <sheets>
    <sheet name="UST Bilimsel Değerlendi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7" i="1" l="1"/>
  <c r="B55" i="1"/>
  <c r="C54" i="1"/>
  <c r="C53" i="1"/>
  <c r="C52" i="1"/>
  <c r="D14" i="1"/>
  <c r="C14" i="1"/>
  <c r="E14" i="1" s="1"/>
  <c r="B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<sst xmlns="http://schemas.openxmlformats.org/spreadsheetml/2006/main" count="367" uniqueCount="236">
  <si>
    <t>🔬 UST v5: 30 SORU BİLİMSEL DEĞERLENDİRME - Popperci Analiz</t>
  </si>
  <si>
    <t>Tarih: 22 Nisan 2026 | Metodoloji: Döküman + Teorik Kısıtlama</t>
  </si>
  <si>
    <t>📊 BÖLÜM 1: ÖZET SKOR KARTI</t>
  </si>
  <si>
    <t>Kategori</t>
  </si>
  <si>
    <t>Toplam</t>
  </si>
  <si>
    <t>Çözülmüş</t>
  </si>
  <si>
    <t>Açık</t>
  </si>
  <si>
    <t>%</t>
  </si>
  <si>
    <t>Durum</t>
  </si>
  <si>
    <t>TEMEL</t>
  </si>
  <si>
    <t>⚠️ KISMI</t>
  </si>
  <si>
    <t>REL.KÜTLE</t>
  </si>
  <si>
    <t>❌ EKSİK</t>
  </si>
  <si>
    <t>QG</t>
  </si>
  <si>
    <t>❌ KRİTİK</t>
  </si>
  <si>
    <t>KARA DELİK</t>
  </si>
  <si>
    <t>KOZMOLOJİ</t>
  </si>
  <si>
    <t>✅ İYİ</t>
  </si>
  <si>
    <t>FERMİYON</t>
  </si>
  <si>
    <t>TUTARLILIK</t>
  </si>
  <si>
    <t>DİĞER</t>
  </si>
  <si>
    <t>⚠️ KARMA</t>
  </si>
  <si>
    <t>TOPLAM</t>
  </si>
  <si>
    <t>⚠️ %30</t>
  </si>
  <si>
    <t>📋 BÖLÜM 2: 30 SORU DETAYLI ANALİZ</t>
  </si>
  <si>
    <t>#</t>
  </si>
  <si>
    <t>Soru</t>
  </si>
  <si>
    <t>UST Yanıtı</t>
  </si>
  <si>
    <t>Kanıt</t>
  </si>
  <si>
    <t>Açık?</t>
  </si>
  <si>
    <t>Popper</t>
  </si>
  <si>
    <t>17-boyut zorunlu mu?</t>
  </si>
  <si>
    <t>Ontolojik postüla, matematiksel zorunluluk DEĞİL</t>
  </si>
  <si>
    <t>POSTÜLA</t>
  </si>
  <si>
    <t>⚠️</t>
  </si>
  <si>
    <t>HAYIR</t>
  </si>
  <si>
    <t>Yanlışlanamaz</t>
  </si>
  <si>
    <t>Ns,q türetimi</t>
  </si>
  <si>
    <t>Geometrik + ısı çekirdeği; tam türetim AÇIK</t>
  </si>
  <si>
    <t>KISMI</t>
  </si>
  <si>
    <t>EVET</t>
  </si>
  <si>
    <t>Türetilebilir</t>
  </si>
  <si>
    <t>a₂=1/17 literatür</t>
  </si>
  <si>
    <t>UST POSTÜLASI, standart QFT'de YOK</t>
  </si>
  <si>
    <t>❌</t>
  </si>
  <si>
    <t>Test edilebilir</t>
  </si>
  <si>
    <t>REL</t>
  </si>
  <si>
    <t>m=m₀γ(1+Ns,q·γ/17)</t>
  </si>
  <si>
    <t>Dökümanda TÜRETİM YOK</t>
  </si>
  <si>
    <t>YOK</t>
  </si>
  <si>
    <t>Bilinmiyor</t>
  </si>
  <si>
    <t>γmax sınırı</t>
  </si>
  <si>
    <t>Matematiksel formülasyon YOK</t>
  </si>
  <si>
    <t>E=mc²(1-α/17)</t>
  </si>
  <si>
    <t>Bu formül dökümanda YOK</t>
  </si>
  <si>
    <t>Wheeler-DeWitt UST</t>
  </si>
  <si>
    <t>KRİTİK AÇIK PROBLEM #1</t>
  </si>
  <si>
    <t>Path Integral+Ns,q</t>
  </si>
  <si>
    <t>KRİTİK AÇIK PROBLEM #2</t>
  </si>
  <si>
    <t>Graviton propagatör</t>
  </si>
  <si>
    <t>YÜKSEK AÇIK PROBLEM #13</t>
  </si>
  <si>
    <t>KD</t>
  </si>
  <si>
    <t>Hawking sıcaklık+Om</t>
  </si>
  <si>
    <t>YÜKSEK AÇIK PROBLEM #3</t>
  </si>
  <si>
    <t>KONSEPT</t>
  </si>
  <si>
    <t>Bekenstein+TOm</t>
  </si>
  <si>
    <t>Bilgi paradoksu</t>
  </si>
  <si>
    <t>ΔS=0 var ama unitarlik AÇIK #15</t>
  </si>
  <si>
    <t>Kanıtlanabilir</t>
  </si>
  <si>
    <t>KOZM</t>
  </si>
  <si>
    <t>Λ 10¹²⁰ problem</t>
  </si>
  <si>
    <t>Mekanizma var, ek RG akışı GEREKLİ</t>
  </si>
  <si>
    <t>ΩDM=0.2698</t>
  </si>
  <si>
    <t>Planck %26.5 ile yakın</t>
  </si>
  <si>
    <t>İYİ</t>
  </si>
  <si>
    <t>✅</t>
  </si>
  <si>
    <t>Test edildi</t>
  </si>
  <si>
    <t>Hubble gerilimi</t>
  </si>
  <si>
    <t>%0.18 Delta ile ESTABLISHED</t>
  </si>
  <si>
    <t>GÜÇLÜ</t>
  </si>
  <si>
    <t>FERM</t>
  </si>
  <si>
    <t>Dirac eğri uzay</t>
  </si>
  <si>
    <t>YÜKSEK AÇIK PROBLEM #4</t>
  </si>
  <si>
    <t>SU(3) gluon genişle</t>
  </si>
  <si>
    <t>√3 geometrik, dinamik YOK</t>
  </si>
  <si>
    <t>TUTRL</t>
  </si>
  <si>
    <t>Modifiye Einstein</t>
  </si>
  <si>
    <t>Prop 3.2: Bianchi SAĞLANIYOR</t>
  </si>
  <si>
    <t>Kanıtlandı</t>
  </si>
  <si>
    <t>Qμν tensörü</t>
  </si>
  <si>
    <t>YÜKSEK AÇIK PROBLEM #12</t>
  </si>
  <si>
    <t>T^QM dalga fonk</t>
  </si>
  <si>
    <t>KRİTİK AÇIK PROBLEM #11</t>
  </si>
  <si>
    <t>DNEY</t>
  </si>
  <si>
    <t>LHC öngörüleri</t>
  </si>
  <si>
    <t>σ(φ_met)=1.786 (2026+)</t>
  </si>
  <si>
    <t>SPESİFİK</t>
  </si>
  <si>
    <t>Yanlışlanabilir</t>
  </si>
  <si>
    <t>LIGO UST imzası</t>
  </si>
  <si>
    <t>TOm baskılanması (2027)</t>
  </si>
  <si>
    <t>CMB uyumu</t>
  </si>
  <si>
    <t>As=%0.60 Delta, χ_pol=22.5°</t>
  </si>
  <si>
    <t>MAT</t>
  </si>
  <si>
    <t>SM Lagranjiyen Tr₁₇</t>
  </si>
  <si>
    <t>L_total tanımlı, türetim AÇIK</t>
  </si>
  <si>
    <t>P(Q):P(O)=3:2</t>
  </si>
  <si>
    <t>Z bölüm fonk ile TÜRETİLDİ</t>
  </si>
  <si>
    <t>ΔS=0 unitarlik</t>
  </si>
  <si>
    <t>SU(1) trivial, jeneratör yok</t>
  </si>
  <si>
    <t>ALT</t>
  </si>
  <si>
    <t>LQG Immirzi=Ns,q?</t>
  </si>
  <si>
    <t>Dökümanda YOK</t>
  </si>
  <si>
    <t>Karşılaştırılabilir</t>
  </si>
  <si>
    <t>AdS/CFT uyumu</t>
  </si>
  <si>
    <t>AÇIK PROBLEM #8</t>
  </si>
  <si>
    <t>SUSY dahil mi?</t>
  </si>
  <si>
    <t>Dökümanda HİÇ YOK</t>
  </si>
  <si>
    <t>ONT</t>
  </si>
  <si>
    <t>Omnium fiziksel</t>
  </si>
  <si>
    <t>Sıfır enerji, yüksüz, gravitasyonel</t>
  </si>
  <si>
    <t>TANIMLI</t>
  </si>
  <si>
    <t>Kavramsal</t>
  </si>
  <si>
    <t>🎯 BÖLÜM 3: POPPERCİ YANLIŞ­LANABİLİRLİK ANALİZİ</t>
  </si>
  <si>
    <t>Sayı</t>
  </si>
  <si>
    <t>Açıklama</t>
  </si>
  <si>
    <t>✅ DOĞRULANDI/KANITLANDI</t>
  </si>
  <si>
    <t>Hubble, Bianchi, P(Q):P(O), ΔS=0, CMB, LHC/LIGO test, Omnium</t>
  </si>
  <si>
    <t>⚠️ KISMI/KONSEPT</t>
  </si>
  <si>
    <t>Ns,q türetim, Hawking, Bekenstein, Λ, SU(3), SM Lagrange</t>
  </si>
  <si>
    <t>❌ EKSİK/YOK</t>
  </si>
  <si>
    <t>Rel.kütle, QG (WdW, Path Int), Dirac, Graviton, AdS/CFT, SUSY</t>
  </si>
  <si>
    <t>-</t>
  </si>
  <si>
    <t>⚠️ BÖLÜM 4: KRİTİK BULGULAR VE SONUÇLAR</t>
  </si>
  <si>
    <t>Bulgu</t>
  </si>
  <si>
    <t>Detay</t>
  </si>
  <si>
    <t>Etki</t>
  </si>
  <si>
    <t>17-Boyut POSTÜLA</t>
  </si>
  <si>
    <t>Matematiksel zorunluluk değil, ontolojik kabul</t>
  </si>
  <si>
    <t>Temel yapı test edilemez</t>
  </si>
  <si>
    <t>a₂=1/17 Doğrulanmamış</t>
  </si>
  <si>
    <t>Standart QFT'de bu değer yok</t>
  </si>
  <si>
    <t>Temel sabit sorgulanabilir</t>
  </si>
  <si>
    <t>Relativistik Kütle EKSİK</t>
  </si>
  <si>
    <t>m=m₀γ(1+Ns,q·γ/17) türetimi YOK</t>
  </si>
  <si>
    <t>Yüksek enerji fiziği belirsiz</t>
  </si>
  <si>
    <t>γmax Sınırı Belirsiz</t>
  </si>
  <si>
    <t>v→c limitinde UST davranışı tanımsız</t>
  </si>
  <si>
    <t>LHC tahminleri zayıf</t>
  </si>
  <si>
    <t>QG Temeli EKSİK</t>
  </si>
  <si>
    <t>Wheeler-DeWitt ve Path Integral yok</t>
  </si>
  <si>
    <t>Kuantum gravitasyon eksik</t>
  </si>
  <si>
    <t>Λ Problemi AÇIK</t>
  </si>
  <si>
    <t>10¹²⁰ için ek mekanizma gerekli</t>
  </si>
  <si>
    <t>Kozmolojik sabit yarı-çözülmüş</t>
  </si>
  <si>
    <t>✅ BÖLÜM 5: UST GÜÇLÜ YANLARI (BİLİMSEL DESTEK)</t>
  </si>
  <si>
    <t>Güçlü Yan</t>
  </si>
  <si>
    <t>Popperci Durum</t>
  </si>
  <si>
    <t>Hubble Gerilimi Çözümü</t>
  </si>
  <si>
    <t>%0.18 Delta ile Planck+Riess uyumu</t>
  </si>
  <si>
    <t>✅ ESTABLISHED</t>
  </si>
  <si>
    <t>Bianchi Tutarlılığı</t>
  </si>
  <si>
    <t>Proposition 3.2 ile kanıtlandı</t>
  </si>
  <si>
    <t>✅ KANITLANDI</t>
  </si>
  <si>
    <t>Termodinamik Denge</t>
  </si>
  <si>
    <t>P(Q):P(O)=3:2 bölüm fonk. ile türetildi</t>
  </si>
  <si>
    <t>✅ TÜRETİLDİ</t>
  </si>
  <si>
    <t>Bilgi Korunumu</t>
  </si>
  <si>
    <t>ΔS=0, SU(1) trivial simetri</t>
  </si>
  <si>
    <t>CMB Uyumu</t>
  </si>
  <si>
    <t>As=%0.60 Delta, Planck 2018</t>
  </si>
  <si>
    <t>✅ DOĞRULANDI</t>
  </si>
  <si>
    <t>Yanlışlanabilir Testler</t>
  </si>
  <si>
    <t>LHC 2026+, LIGO 2027, CMB-S4 2028</t>
  </si>
  <si>
    <t>✅ POPPERCİ</t>
  </si>
  <si>
    <t>ΩDM Tahmini</t>
  </si>
  <si>
    <t>0.2698 vs Planck %26.5 yakın</t>
  </si>
  <si>
    <t>✅ YAKLAŞIK</t>
  </si>
  <si>
    <t>🎯 BÖLÜM 6: ÖNCELİKLİ TAMAMLAMA YOL HARİTASI</t>
  </si>
  <si>
    <t>Öncelik</t>
  </si>
  <si>
    <t>Görev</t>
  </si>
  <si>
    <t>İlgili Soru</t>
  </si>
  <si>
    <t>Beklenen Çıktı</t>
  </si>
  <si>
    <t>KRİTİK-1</t>
  </si>
  <si>
    <t>a₂=1/17 literatür doğrulaması</t>
  </si>
  <si>
    <t>#3</t>
  </si>
  <si>
    <t>QFT kaynak veya yeni kanıt</t>
  </si>
  <si>
    <t>KRİTİK-2</t>
  </si>
  <si>
    <t>Relativistik kütle türetimi</t>
  </si>
  <si>
    <t>#4, #5, #6</t>
  </si>
  <si>
    <t>γmax formülü ve E=mc² düzeltme</t>
  </si>
  <si>
    <t>KRİTİK-3</t>
  </si>
  <si>
    <t>Wheeler-DeWitt UST formülasyonu</t>
  </si>
  <si>
    <t>#7</t>
  </si>
  <si>
    <t>Ĥ_UST|Ψ⟩ tam denklemi</t>
  </si>
  <si>
    <t>KRİTİK-4</t>
  </si>
  <si>
    <t>Path Integral entegrasyonu</t>
  </si>
  <si>
    <t>#8</t>
  </si>
  <si>
    <t>Z_UST = ∫Dg e^{i·Ns,q·S/ℏ}</t>
  </si>
  <si>
    <t>YÜKSEK-1</t>
  </si>
  <si>
    <t>Hawking + Bekenstein UST</t>
  </si>
  <si>
    <t>#10, #11</t>
  </si>
  <si>
    <t>TH_UST, S_UST formülleri</t>
  </si>
  <si>
    <t>YÜKSEK-2</t>
  </si>
  <si>
    <t>Dirac eğri uzay tetrad</t>
  </si>
  <si>
    <t>#16</t>
  </si>
  <si>
    <t>Fermiyonik sektör tamamlama</t>
  </si>
  <si>
    <t>YÜKSEK-3</t>
  </si>
  <si>
    <t>Λ problemi RG akış mekanizması</t>
  </si>
  <si>
    <t>#13</t>
  </si>
  <si>
    <t>10¹²⁰ tam çözüm</t>
  </si>
  <si>
    <t>ORTA-1</t>
  </si>
  <si>
    <t>LQG/AdS-CFT karşılaştırması</t>
  </si>
  <si>
    <t>#27, #28</t>
  </si>
  <si>
    <t>Alternatif teori uyumu</t>
  </si>
  <si>
    <t>📊 BÖLÜM 7: GENEL SONUÇ VE BİLİMSEL KARAR</t>
  </si>
  <si>
    <t>Metrik</t>
  </si>
  <si>
    <t>Değer</t>
  </si>
  <si>
    <t>Yorum</t>
  </si>
  <si>
    <t>Toplam Soru</t>
  </si>
  <si>
    <t>Kapsamlı analiz</t>
  </si>
  <si>
    <t>Çözülmüş/Kanıtlanmış</t>
  </si>
  <si>
    <t>%30 - Temel yapı sağlam</t>
  </si>
  <si>
    <t>Kısmi/Konsept</t>
  </si>
  <si>
    <t>%23 - Geliştirme potansiyeli</t>
  </si>
  <si>
    <t>Açık Problem</t>
  </si>
  <si>
    <t>%47 - Kritik eksiklikler</t>
  </si>
  <si>
    <t>Tamamlanma Oranı</t>
  </si>
  <si>
    <t>Genel ilerleme</t>
  </si>
  <si>
    <t>🔬 FİNAL DEĞERLENDİRME</t>
  </si>
  <si>
    <t>UST v5, Popperci yanlışlanabilirlik açısından KARMA bir görünüm sergiler:</t>
  </si>
  <si>
    <t>✅ GÜÇLÜ: Hubble gerilimi, CMB uyumu, termodinamik denge, Bianchi tutarlılığı</t>
  </si>
  <si>
    <t>✅ POPPERCİ: LHC 2026+, LIGO 2027, CMB-S4 2028 için spesifik, yanlışlanabilir tahminler</t>
  </si>
  <si>
    <t>⚠️ ZAYIF: 17-boyut POSTÜLA (yanlışlanamaz), a₂=1/17 doğrulanmamış</t>
  </si>
  <si>
    <t>❌ KRİTİK: Relativistik kütle, QG temeli (WdW, Path Int), Fermiyonik sektör EKSİK</t>
  </si>
  <si>
    <t>📌 KARAR: Teori GELİŞMEKTE. Kozmoloji güçlü, QG ve yüksek enerji fiziği eksik.</t>
  </si>
  <si>
    <t>📌 ÖNCELİK: a₂=1/17 kanıtı, γmax sınırı, Wheeler-DeWitt UST formülasyonu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</si>
</sst>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CF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1" fillId="4" borderId="1" xfId="0" applyFont="1" applyFill="1" applyBorder="1"/>
    <xf numFmtId="0" fontId="0" fillId="0" borderId="1" xfId="0" applyBorder="1"/>
    <xf numFmtId="0" fontId="1" fillId="5" borderId="1" xfId="0" applyFont="1" applyFill="1" applyBorder="1"/>
    <xf numFmtId="0" fontId="4" fillId="6" borderId="0" xfId="0" applyFont="1" applyFill="1"/>
    <xf numFmtId="0" fontId="1" fillId="7" borderId="1" xfId="0" applyFont="1" applyFill="1" applyBorder="1"/>
    <xf numFmtId="0" fontId="0" fillId="5" borderId="1" xfId="0" applyFill="1" applyBorder="1"/>
    <xf numFmtId="0" fontId="0" fillId="8" borderId="1" xfId="0" applyFill="1" applyBorder="1"/>
    <xf numFmtId="0" fontId="0" fillId="4" borderId="1" xfId="0" applyFill="1" applyBorder="1"/>
    <xf numFmtId="0" fontId="4" fillId="9" borderId="0" xfId="0" applyFont="1" applyFill="1"/>
    <xf numFmtId="0" fontId="1" fillId="10" borderId="0" xfId="0" applyFont="1" applyFill="1"/>
    <xf numFmtId="0" fontId="1" fillId="5" borderId="0" xfId="0" applyFont="1" applyFill="1"/>
    <xf numFmtId="0" fontId="4" fillId="11" borderId="0" xfId="0" applyFont="1" applyFill="1"/>
    <xf numFmtId="0" fontId="1" fillId="8" borderId="0" xfId="0" applyFont="1" applyFill="1"/>
    <xf numFmtId="0" fontId="1" fillId="4" borderId="0" xfId="0" applyFont="1" applyFill="1"/>
    <xf numFmtId="0" fontId="4" fillId="12" borderId="0" xfId="0" applyFont="1" applyFill="1"/>
    <xf numFmtId="0" fontId="1" fillId="13" borderId="0" xfId="0" applyFont="1" applyFill="1"/>
    <xf numFmtId="0" fontId="4" fillId="14" borderId="0" xfId="0" applyFont="1" applyFill="1"/>
    <xf numFmtId="0" fontId="1" fillId="15" borderId="0" xfId="0" applyFont="1" applyFill="1"/>
    <xf numFmtId="0" fontId="1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BEA4-D76C-483A-816B-A9C04C0BF5B0}">
  <sheetPr codeName="Sayfa5"/>
  <dimension ref="A1:H110"/>
  <sheetViews>
    <sheetView tabSelected="1" workbookViewId="0"/>
  </sheetViews>
  <sheetFormatPr defaultRowHeight="15" x14ac:dyDescent="0.25"/>
  <cols>
    <col min="1" max="1" width="34.28515625" customWidth="1"/>
    <col min="2" max="2" width="28.5703125" customWidth="1"/>
    <col min="3" max="3" width="38.140625" customWidth="1"/>
    <col min="4" max="4" width="47.5703125" customWidth="1"/>
    <col min="5" max="5" width="15.28515625" customWidth="1"/>
    <col min="6" max="7" width="11.42578125" customWidth="1"/>
    <col min="8" max="8" width="19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</row>
    <row r="5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5">
        <v>3</v>
      </c>
      <c r="C6" s="5">
        <v>1</v>
      </c>
      <c r="D6" s="5">
        <v>2</v>
      </c>
      <c r="E6" s="5">
        <f t="shared" ref="E6:E14" si="0">ROUND(C6/B6*100,0)</f>
        <v>33</v>
      </c>
      <c r="F6" s="5" t="s">
        <v>10</v>
      </c>
    </row>
    <row r="7" spans="1:6" x14ac:dyDescent="0.25">
      <c r="A7" s="5" t="s">
        <v>11</v>
      </c>
      <c r="B7" s="5">
        <v>3</v>
      </c>
      <c r="C7" s="5">
        <v>0</v>
      </c>
      <c r="D7" s="5">
        <v>3</v>
      </c>
      <c r="E7" s="5">
        <f t="shared" si="0"/>
        <v>0</v>
      </c>
      <c r="F7" s="5" t="s">
        <v>12</v>
      </c>
    </row>
    <row r="8" spans="1:6" x14ac:dyDescent="0.25">
      <c r="A8" s="5" t="s">
        <v>13</v>
      </c>
      <c r="B8" s="5">
        <v>3</v>
      </c>
      <c r="C8" s="5">
        <v>0</v>
      </c>
      <c r="D8" s="5">
        <v>3</v>
      </c>
      <c r="E8" s="5">
        <f t="shared" si="0"/>
        <v>0</v>
      </c>
      <c r="F8" s="5" t="s">
        <v>14</v>
      </c>
    </row>
    <row r="9" spans="1:6" x14ac:dyDescent="0.25">
      <c r="A9" s="5" t="s">
        <v>15</v>
      </c>
      <c r="B9" s="5">
        <v>3</v>
      </c>
      <c r="C9" s="5">
        <v>1</v>
      </c>
      <c r="D9" s="5">
        <v>2</v>
      </c>
      <c r="E9" s="5">
        <f t="shared" si="0"/>
        <v>33</v>
      </c>
      <c r="F9" s="5" t="s">
        <v>10</v>
      </c>
    </row>
    <row r="10" spans="1:6" x14ac:dyDescent="0.25">
      <c r="A10" s="5" t="s">
        <v>16</v>
      </c>
      <c r="B10" s="5">
        <v>3</v>
      </c>
      <c r="C10" s="5">
        <v>2</v>
      </c>
      <c r="D10" s="5">
        <v>1</v>
      </c>
      <c r="E10" s="5">
        <f t="shared" si="0"/>
        <v>67</v>
      </c>
      <c r="F10" s="5" t="s">
        <v>17</v>
      </c>
    </row>
    <row r="11" spans="1:6" x14ac:dyDescent="0.25">
      <c r="A11" s="5" t="s">
        <v>18</v>
      </c>
      <c r="B11" s="5">
        <v>2</v>
      </c>
      <c r="C11" s="5">
        <v>0</v>
      </c>
      <c r="D11" s="5">
        <v>2</v>
      </c>
      <c r="E11" s="5">
        <f t="shared" si="0"/>
        <v>0</v>
      </c>
      <c r="F11" s="5" t="s">
        <v>12</v>
      </c>
    </row>
    <row r="12" spans="1:6" x14ac:dyDescent="0.25">
      <c r="A12" s="5" t="s">
        <v>19</v>
      </c>
      <c r="B12" s="5">
        <v>3</v>
      </c>
      <c r="C12" s="5">
        <v>1</v>
      </c>
      <c r="D12" s="5">
        <v>2</v>
      </c>
      <c r="E12" s="5">
        <f t="shared" si="0"/>
        <v>33</v>
      </c>
      <c r="F12" s="5" t="s">
        <v>10</v>
      </c>
    </row>
    <row r="13" spans="1:6" x14ac:dyDescent="0.25">
      <c r="A13" s="5" t="s">
        <v>20</v>
      </c>
      <c r="B13" s="5">
        <v>10</v>
      </c>
      <c r="C13" s="5">
        <v>4</v>
      </c>
      <c r="D13" s="5">
        <v>6</v>
      </c>
      <c r="E13" s="5">
        <f t="shared" si="0"/>
        <v>40</v>
      </c>
      <c r="F13" s="5" t="s">
        <v>21</v>
      </c>
    </row>
    <row r="14" spans="1:6" x14ac:dyDescent="0.25">
      <c r="A14" s="6" t="s">
        <v>22</v>
      </c>
      <c r="B14" s="6">
        <f>SUM(B6:B13)</f>
        <v>30</v>
      </c>
      <c r="C14" s="6">
        <f>SUM(C6:C13)</f>
        <v>9</v>
      </c>
      <c r="D14" s="6">
        <f>SUM(D6:D13)</f>
        <v>21</v>
      </c>
      <c r="E14" s="6">
        <f t="shared" si="0"/>
        <v>30</v>
      </c>
      <c r="F14" s="6" t="s">
        <v>23</v>
      </c>
    </row>
    <row r="16" spans="1:6" x14ac:dyDescent="0.25">
      <c r="A16" s="7" t="s">
        <v>24</v>
      </c>
    </row>
    <row r="17" spans="1:8" x14ac:dyDescent="0.25">
      <c r="A17" s="8" t="s">
        <v>25</v>
      </c>
      <c r="B17" s="8" t="s">
        <v>3</v>
      </c>
      <c r="C17" s="8" t="s">
        <v>26</v>
      </c>
      <c r="D17" s="8" t="s">
        <v>27</v>
      </c>
      <c r="E17" s="8" t="s">
        <v>28</v>
      </c>
      <c r="F17" s="8" t="s">
        <v>8</v>
      </c>
      <c r="G17" s="8" t="s">
        <v>29</v>
      </c>
      <c r="H17" s="8" t="s">
        <v>30</v>
      </c>
    </row>
    <row r="18" spans="1:8" x14ac:dyDescent="0.25">
      <c r="A18" s="5">
        <v>1</v>
      </c>
      <c r="B18" s="5" t="s">
        <v>9</v>
      </c>
      <c r="C18" s="5" t="s">
        <v>31</v>
      </c>
      <c r="D18" s="5" t="s">
        <v>32</v>
      </c>
      <c r="E18" s="5" t="s">
        <v>33</v>
      </c>
      <c r="F18" s="9" t="s">
        <v>34</v>
      </c>
      <c r="G18" s="5" t="s">
        <v>35</v>
      </c>
      <c r="H18" s="5" t="s">
        <v>36</v>
      </c>
    </row>
    <row r="19" spans="1:8" x14ac:dyDescent="0.25">
      <c r="A19" s="5">
        <v>2</v>
      </c>
      <c r="B19" s="5" t="s">
        <v>9</v>
      </c>
      <c r="C19" s="5" t="s">
        <v>37</v>
      </c>
      <c r="D19" s="5" t="s">
        <v>38</v>
      </c>
      <c r="E19" s="5" t="s">
        <v>39</v>
      </c>
      <c r="F19" s="9" t="s">
        <v>34</v>
      </c>
      <c r="G19" s="5" t="s">
        <v>40</v>
      </c>
      <c r="H19" s="5" t="s">
        <v>41</v>
      </c>
    </row>
    <row r="20" spans="1:8" x14ac:dyDescent="0.25">
      <c r="A20" s="5">
        <v>3</v>
      </c>
      <c r="B20" s="5" t="s">
        <v>9</v>
      </c>
      <c r="C20" s="5" t="s">
        <v>42</v>
      </c>
      <c r="D20" s="5" t="s">
        <v>43</v>
      </c>
      <c r="E20" s="5" t="s">
        <v>33</v>
      </c>
      <c r="F20" s="10" t="s">
        <v>44</v>
      </c>
      <c r="G20" s="5" t="s">
        <v>40</v>
      </c>
      <c r="H20" s="5" t="s">
        <v>45</v>
      </c>
    </row>
    <row r="21" spans="1:8" x14ac:dyDescent="0.25">
      <c r="A21" s="5">
        <v>4</v>
      </c>
      <c r="B21" s="5" t="s">
        <v>46</v>
      </c>
      <c r="C21" s="5" t="s">
        <v>47</v>
      </c>
      <c r="D21" s="5" t="s">
        <v>48</v>
      </c>
      <c r="E21" s="5" t="s">
        <v>49</v>
      </c>
      <c r="F21" s="10" t="s">
        <v>44</v>
      </c>
      <c r="G21" s="5" t="s">
        <v>40</v>
      </c>
      <c r="H21" s="5" t="s">
        <v>50</v>
      </c>
    </row>
    <row r="22" spans="1:8" x14ac:dyDescent="0.25">
      <c r="A22" s="5">
        <v>5</v>
      </c>
      <c r="B22" s="5" t="s">
        <v>46</v>
      </c>
      <c r="C22" s="5" t="s">
        <v>51</v>
      </c>
      <c r="D22" s="5" t="s">
        <v>52</v>
      </c>
      <c r="E22" s="5" t="s">
        <v>49</v>
      </c>
      <c r="F22" s="10" t="s">
        <v>44</v>
      </c>
      <c r="G22" s="5" t="s">
        <v>40</v>
      </c>
      <c r="H22" s="5" t="s">
        <v>50</v>
      </c>
    </row>
    <row r="23" spans="1:8" x14ac:dyDescent="0.25">
      <c r="A23" s="5">
        <v>6</v>
      </c>
      <c r="B23" s="5" t="s">
        <v>46</v>
      </c>
      <c r="C23" s="5" t="s">
        <v>53</v>
      </c>
      <c r="D23" s="5" t="s">
        <v>54</v>
      </c>
      <c r="E23" s="5" t="s">
        <v>49</v>
      </c>
      <c r="F23" s="10" t="s">
        <v>44</v>
      </c>
      <c r="G23" s="5" t="s">
        <v>40</v>
      </c>
      <c r="H23" s="5" t="s">
        <v>50</v>
      </c>
    </row>
    <row r="24" spans="1:8" x14ac:dyDescent="0.25">
      <c r="A24" s="5">
        <v>7</v>
      </c>
      <c r="B24" s="5" t="s">
        <v>13</v>
      </c>
      <c r="C24" s="5" t="s">
        <v>55</v>
      </c>
      <c r="D24" s="5" t="s">
        <v>56</v>
      </c>
      <c r="E24" s="5" t="s">
        <v>49</v>
      </c>
      <c r="F24" s="10" t="s">
        <v>44</v>
      </c>
      <c r="G24" s="5" t="s">
        <v>40</v>
      </c>
      <c r="H24" s="5" t="s">
        <v>41</v>
      </c>
    </row>
    <row r="25" spans="1:8" x14ac:dyDescent="0.25">
      <c r="A25" s="5">
        <v>8</v>
      </c>
      <c r="B25" s="5" t="s">
        <v>13</v>
      </c>
      <c r="C25" s="5" t="s">
        <v>57</v>
      </c>
      <c r="D25" s="5" t="s">
        <v>58</v>
      </c>
      <c r="E25" s="5" t="s">
        <v>49</v>
      </c>
      <c r="F25" s="9" t="s">
        <v>44</v>
      </c>
      <c r="G25" s="5" t="s">
        <v>40</v>
      </c>
      <c r="H25" s="5" t="s">
        <v>41</v>
      </c>
    </row>
    <row r="26" spans="1:8" x14ac:dyDescent="0.25">
      <c r="A26" s="5">
        <v>9</v>
      </c>
      <c r="B26" s="5" t="s">
        <v>13</v>
      </c>
      <c r="C26" s="5" t="s">
        <v>59</v>
      </c>
      <c r="D26" s="5" t="s">
        <v>60</v>
      </c>
      <c r="E26" s="5" t="s">
        <v>49</v>
      </c>
      <c r="F26" s="9" t="s">
        <v>44</v>
      </c>
      <c r="G26" s="5" t="s">
        <v>40</v>
      </c>
      <c r="H26" s="5" t="s">
        <v>45</v>
      </c>
    </row>
    <row r="27" spans="1:8" x14ac:dyDescent="0.25">
      <c r="A27" s="5">
        <v>10</v>
      </c>
      <c r="B27" s="5" t="s">
        <v>61</v>
      </c>
      <c r="C27" s="5" t="s">
        <v>62</v>
      </c>
      <c r="D27" s="5" t="s">
        <v>63</v>
      </c>
      <c r="E27" s="5" t="s">
        <v>64</v>
      </c>
      <c r="F27" s="9" t="s">
        <v>34</v>
      </c>
      <c r="G27" s="5" t="s">
        <v>40</v>
      </c>
      <c r="H27" s="5" t="s">
        <v>45</v>
      </c>
    </row>
    <row r="28" spans="1:8" x14ac:dyDescent="0.25">
      <c r="A28" s="5">
        <v>11</v>
      </c>
      <c r="B28" s="5" t="s">
        <v>61</v>
      </c>
      <c r="C28" s="5" t="s">
        <v>65</v>
      </c>
      <c r="D28" s="5" t="s">
        <v>63</v>
      </c>
      <c r="E28" s="5" t="s">
        <v>64</v>
      </c>
      <c r="F28" s="9" t="s">
        <v>34</v>
      </c>
      <c r="G28" s="5" t="s">
        <v>40</v>
      </c>
      <c r="H28" s="5" t="s">
        <v>45</v>
      </c>
    </row>
    <row r="29" spans="1:8" x14ac:dyDescent="0.25">
      <c r="A29" s="5">
        <v>12</v>
      </c>
      <c r="B29" s="5" t="s">
        <v>61</v>
      </c>
      <c r="C29" s="5" t="s">
        <v>66</v>
      </c>
      <c r="D29" s="5" t="s">
        <v>67</v>
      </c>
      <c r="E29" s="5" t="s">
        <v>39</v>
      </c>
      <c r="F29" s="11" t="s">
        <v>34</v>
      </c>
      <c r="G29" s="5" t="s">
        <v>40</v>
      </c>
      <c r="H29" s="5" t="s">
        <v>68</v>
      </c>
    </row>
    <row r="30" spans="1:8" x14ac:dyDescent="0.25">
      <c r="A30" s="5">
        <v>13</v>
      </c>
      <c r="B30" s="5" t="s">
        <v>69</v>
      </c>
      <c r="C30" s="5" t="s">
        <v>70</v>
      </c>
      <c r="D30" s="5" t="s">
        <v>71</v>
      </c>
      <c r="E30" s="5" t="s">
        <v>39</v>
      </c>
      <c r="F30" s="11" t="s">
        <v>34</v>
      </c>
      <c r="G30" s="5" t="s">
        <v>40</v>
      </c>
      <c r="H30" s="5" t="s">
        <v>45</v>
      </c>
    </row>
    <row r="31" spans="1:8" x14ac:dyDescent="0.25">
      <c r="A31" s="5">
        <v>14</v>
      </c>
      <c r="B31" s="5" t="s">
        <v>69</v>
      </c>
      <c r="C31" s="5" t="s">
        <v>72</v>
      </c>
      <c r="D31" s="5" t="s">
        <v>73</v>
      </c>
      <c r="E31" s="5" t="s">
        <v>74</v>
      </c>
      <c r="F31" s="10" t="s">
        <v>75</v>
      </c>
      <c r="G31" s="5" t="s">
        <v>40</v>
      </c>
      <c r="H31" s="5" t="s">
        <v>76</v>
      </c>
    </row>
    <row r="32" spans="1:8" x14ac:dyDescent="0.25">
      <c r="A32" s="5">
        <v>15</v>
      </c>
      <c r="B32" s="5" t="s">
        <v>69</v>
      </c>
      <c r="C32" s="5" t="s">
        <v>77</v>
      </c>
      <c r="D32" s="5" t="s">
        <v>78</v>
      </c>
      <c r="E32" s="5" t="s">
        <v>79</v>
      </c>
      <c r="F32" s="11" t="s">
        <v>75</v>
      </c>
      <c r="G32" s="5" t="s">
        <v>35</v>
      </c>
      <c r="H32" s="5" t="s">
        <v>76</v>
      </c>
    </row>
    <row r="33" spans="1:8" x14ac:dyDescent="0.25">
      <c r="A33" s="5">
        <v>16</v>
      </c>
      <c r="B33" s="5" t="s">
        <v>80</v>
      </c>
      <c r="C33" s="5" t="s">
        <v>81</v>
      </c>
      <c r="D33" s="5" t="s">
        <v>82</v>
      </c>
      <c r="E33" s="5" t="s">
        <v>49</v>
      </c>
      <c r="F33" s="10" t="s">
        <v>44</v>
      </c>
      <c r="G33" s="5" t="s">
        <v>40</v>
      </c>
      <c r="H33" s="5" t="s">
        <v>41</v>
      </c>
    </row>
    <row r="34" spans="1:8" x14ac:dyDescent="0.25">
      <c r="A34" s="5">
        <v>17</v>
      </c>
      <c r="B34" s="5" t="s">
        <v>80</v>
      </c>
      <c r="C34" s="5" t="s">
        <v>83</v>
      </c>
      <c r="D34" s="5" t="s">
        <v>84</v>
      </c>
      <c r="E34" s="5" t="s">
        <v>39</v>
      </c>
      <c r="F34" s="9" t="s">
        <v>34</v>
      </c>
      <c r="G34" s="5" t="s">
        <v>40</v>
      </c>
      <c r="H34" s="5" t="s">
        <v>45</v>
      </c>
    </row>
    <row r="35" spans="1:8" x14ac:dyDescent="0.25">
      <c r="A35" s="5">
        <v>18</v>
      </c>
      <c r="B35" s="5" t="s">
        <v>85</v>
      </c>
      <c r="C35" s="5" t="s">
        <v>86</v>
      </c>
      <c r="D35" s="5" t="s">
        <v>87</v>
      </c>
      <c r="E35" s="5" t="s">
        <v>79</v>
      </c>
      <c r="F35" s="11" t="s">
        <v>75</v>
      </c>
      <c r="G35" s="5" t="s">
        <v>35</v>
      </c>
      <c r="H35" s="5" t="s">
        <v>88</v>
      </c>
    </row>
    <row r="36" spans="1:8" x14ac:dyDescent="0.25">
      <c r="A36" s="5">
        <v>19</v>
      </c>
      <c r="B36" s="5" t="s">
        <v>85</v>
      </c>
      <c r="C36" s="5" t="s">
        <v>89</v>
      </c>
      <c r="D36" s="5" t="s">
        <v>90</v>
      </c>
      <c r="E36" s="5" t="s">
        <v>49</v>
      </c>
      <c r="F36" s="10" t="s">
        <v>44</v>
      </c>
      <c r="G36" s="5" t="s">
        <v>40</v>
      </c>
      <c r="H36" s="5" t="s">
        <v>41</v>
      </c>
    </row>
    <row r="37" spans="1:8" x14ac:dyDescent="0.25">
      <c r="A37" s="5">
        <v>20</v>
      </c>
      <c r="B37" s="5" t="s">
        <v>85</v>
      </c>
      <c r="C37" s="5" t="s">
        <v>91</v>
      </c>
      <c r="D37" s="5" t="s">
        <v>92</v>
      </c>
      <c r="E37" s="5" t="s">
        <v>49</v>
      </c>
      <c r="F37" s="10" t="s">
        <v>44</v>
      </c>
      <c r="G37" s="5" t="s">
        <v>40</v>
      </c>
      <c r="H37" s="5" t="s">
        <v>41</v>
      </c>
    </row>
    <row r="38" spans="1:8" x14ac:dyDescent="0.25">
      <c r="A38" s="5">
        <v>21</v>
      </c>
      <c r="B38" s="5" t="s">
        <v>93</v>
      </c>
      <c r="C38" s="5" t="s">
        <v>94</v>
      </c>
      <c r="D38" s="5" t="s">
        <v>95</v>
      </c>
      <c r="E38" s="5" t="s">
        <v>96</v>
      </c>
      <c r="F38" s="11" t="s">
        <v>75</v>
      </c>
      <c r="G38" s="5" t="s">
        <v>35</v>
      </c>
      <c r="H38" s="5" t="s">
        <v>97</v>
      </c>
    </row>
    <row r="39" spans="1:8" x14ac:dyDescent="0.25">
      <c r="A39" s="5">
        <v>22</v>
      </c>
      <c r="B39" s="5" t="s">
        <v>93</v>
      </c>
      <c r="C39" s="5" t="s">
        <v>98</v>
      </c>
      <c r="D39" s="5" t="s">
        <v>99</v>
      </c>
      <c r="E39" s="5" t="s">
        <v>96</v>
      </c>
      <c r="F39" s="11" t="s">
        <v>75</v>
      </c>
      <c r="G39" s="5" t="s">
        <v>35</v>
      </c>
      <c r="H39" s="5" t="s">
        <v>97</v>
      </c>
    </row>
    <row r="40" spans="1:8" x14ac:dyDescent="0.25">
      <c r="A40" s="5">
        <v>23</v>
      </c>
      <c r="B40" s="5" t="s">
        <v>93</v>
      </c>
      <c r="C40" s="5" t="s">
        <v>100</v>
      </c>
      <c r="D40" s="5" t="s">
        <v>101</v>
      </c>
      <c r="E40" s="5" t="s">
        <v>79</v>
      </c>
      <c r="F40" s="11" t="s">
        <v>75</v>
      </c>
      <c r="G40" s="5" t="s">
        <v>39</v>
      </c>
      <c r="H40" s="5" t="s">
        <v>97</v>
      </c>
    </row>
    <row r="41" spans="1:8" x14ac:dyDescent="0.25">
      <c r="A41" s="5">
        <v>24</v>
      </c>
      <c r="B41" s="5" t="s">
        <v>102</v>
      </c>
      <c r="C41" s="5" t="s">
        <v>103</v>
      </c>
      <c r="D41" s="5" t="s">
        <v>104</v>
      </c>
      <c r="E41" s="5" t="s">
        <v>39</v>
      </c>
      <c r="F41" s="9" t="s">
        <v>34</v>
      </c>
      <c r="G41" s="5" t="s">
        <v>40</v>
      </c>
      <c r="H41" s="5" t="s">
        <v>41</v>
      </c>
    </row>
    <row r="42" spans="1:8" x14ac:dyDescent="0.25">
      <c r="A42" s="5">
        <v>25</v>
      </c>
      <c r="B42" s="5" t="s">
        <v>102</v>
      </c>
      <c r="C42" s="5" t="s">
        <v>105</v>
      </c>
      <c r="D42" s="5" t="s">
        <v>106</v>
      </c>
      <c r="E42" s="5" t="s">
        <v>79</v>
      </c>
      <c r="F42" s="11" t="s">
        <v>75</v>
      </c>
      <c r="G42" s="5" t="s">
        <v>35</v>
      </c>
      <c r="H42" s="5" t="s">
        <v>88</v>
      </c>
    </row>
    <row r="43" spans="1:8" x14ac:dyDescent="0.25">
      <c r="A43" s="5">
        <v>26</v>
      </c>
      <c r="B43" s="5" t="s">
        <v>102</v>
      </c>
      <c r="C43" s="5" t="s">
        <v>107</v>
      </c>
      <c r="D43" s="5" t="s">
        <v>108</v>
      </c>
      <c r="E43" s="5" t="s">
        <v>79</v>
      </c>
      <c r="F43" s="11" t="s">
        <v>75</v>
      </c>
      <c r="G43" s="5" t="s">
        <v>35</v>
      </c>
      <c r="H43" s="5" t="s">
        <v>88</v>
      </c>
    </row>
    <row r="44" spans="1:8" x14ac:dyDescent="0.25">
      <c r="A44" s="5">
        <v>27</v>
      </c>
      <c r="B44" s="5" t="s">
        <v>109</v>
      </c>
      <c r="C44" s="5" t="s">
        <v>110</v>
      </c>
      <c r="D44" s="5" t="s">
        <v>111</v>
      </c>
      <c r="E44" s="5" t="s">
        <v>49</v>
      </c>
      <c r="F44" s="10" t="s">
        <v>44</v>
      </c>
      <c r="G44" s="5" t="s">
        <v>40</v>
      </c>
      <c r="H44" s="5" t="s">
        <v>112</v>
      </c>
    </row>
    <row r="45" spans="1:8" x14ac:dyDescent="0.25">
      <c r="A45" s="5">
        <v>28</v>
      </c>
      <c r="B45" s="5" t="s">
        <v>109</v>
      </c>
      <c r="C45" s="5" t="s">
        <v>113</v>
      </c>
      <c r="D45" s="5" t="s">
        <v>114</v>
      </c>
      <c r="E45" s="5" t="s">
        <v>49</v>
      </c>
      <c r="F45" s="10" t="s">
        <v>44</v>
      </c>
      <c r="G45" s="5" t="s">
        <v>40</v>
      </c>
      <c r="H45" s="5" t="s">
        <v>112</v>
      </c>
    </row>
    <row r="46" spans="1:8" x14ac:dyDescent="0.25">
      <c r="A46" s="5">
        <v>29</v>
      </c>
      <c r="B46" s="5" t="s">
        <v>109</v>
      </c>
      <c r="C46" s="5" t="s">
        <v>115</v>
      </c>
      <c r="D46" s="5" t="s">
        <v>116</v>
      </c>
      <c r="E46" s="5" t="s">
        <v>49</v>
      </c>
      <c r="F46" s="10" t="s">
        <v>44</v>
      </c>
      <c r="G46" s="5" t="s">
        <v>40</v>
      </c>
      <c r="H46" s="5" t="s">
        <v>50</v>
      </c>
    </row>
    <row r="47" spans="1:8" x14ac:dyDescent="0.25">
      <c r="A47" s="5">
        <v>30</v>
      </c>
      <c r="B47" s="5" t="s">
        <v>117</v>
      </c>
      <c r="C47" s="5" t="s">
        <v>118</v>
      </c>
      <c r="D47" s="5" t="s">
        <v>119</v>
      </c>
      <c r="E47" s="5" t="s">
        <v>120</v>
      </c>
      <c r="F47" s="11" t="s">
        <v>75</v>
      </c>
      <c r="G47" s="5" t="s">
        <v>35</v>
      </c>
      <c r="H47" s="5" t="s">
        <v>121</v>
      </c>
    </row>
    <row r="50" spans="1:4" x14ac:dyDescent="0.25">
      <c r="A50" s="12" t="s">
        <v>122</v>
      </c>
    </row>
    <row r="51" spans="1:4" x14ac:dyDescent="0.25">
      <c r="A51" s="13" t="s">
        <v>3</v>
      </c>
      <c r="B51" s="13" t="s">
        <v>123</v>
      </c>
      <c r="C51" s="13" t="s">
        <v>7</v>
      </c>
      <c r="D51" s="13" t="s">
        <v>124</v>
      </c>
    </row>
    <row r="52" spans="1:4" x14ac:dyDescent="0.25">
      <c r="A52" t="s">
        <v>125</v>
      </c>
      <c r="B52">
        <v>9</v>
      </c>
      <c r="C52">
        <f>ROUND(B52/30*100,0)</f>
        <v>30</v>
      </c>
      <c r="D52" t="s">
        <v>126</v>
      </c>
    </row>
    <row r="53" spans="1:4" x14ac:dyDescent="0.25">
      <c r="A53" t="s">
        <v>127</v>
      </c>
      <c r="B53">
        <v>7</v>
      </c>
      <c r="C53">
        <f>ROUND(B53/30*100,0)</f>
        <v>23</v>
      </c>
      <c r="D53" t="s">
        <v>128</v>
      </c>
    </row>
    <row r="54" spans="1:4" x14ac:dyDescent="0.25">
      <c r="A54" t="s">
        <v>129</v>
      </c>
      <c r="B54">
        <v>14</v>
      </c>
      <c r="C54">
        <f>ROUND(B54/30*100,0)</f>
        <v>47</v>
      </c>
      <c r="D54" t="s">
        <v>130</v>
      </c>
    </row>
    <row r="55" spans="1:4" x14ac:dyDescent="0.25">
      <c r="A55" s="14" t="s">
        <v>22</v>
      </c>
      <c r="B55" s="14">
        <f>SUM(B52:B54)</f>
        <v>30</v>
      </c>
      <c r="C55" s="14">
        <v>100</v>
      </c>
      <c r="D55" s="14" t="s">
        <v>131</v>
      </c>
    </row>
    <row r="58" spans="1:4" x14ac:dyDescent="0.25">
      <c r="A58" s="15" t="s">
        <v>132</v>
      </c>
    </row>
    <row r="59" spans="1:4" x14ac:dyDescent="0.25">
      <c r="A59" s="16" t="s">
        <v>25</v>
      </c>
      <c r="B59" s="16" t="s">
        <v>133</v>
      </c>
      <c r="C59" s="16" t="s">
        <v>134</v>
      </c>
      <c r="D59" s="16" t="s">
        <v>135</v>
      </c>
    </row>
    <row r="60" spans="1:4" x14ac:dyDescent="0.25">
      <c r="A60">
        <v>1</v>
      </c>
      <c r="B60" t="s">
        <v>136</v>
      </c>
      <c r="C60" t="s">
        <v>137</v>
      </c>
      <c r="D60" t="s">
        <v>138</v>
      </c>
    </row>
    <row r="61" spans="1:4" x14ac:dyDescent="0.25">
      <c r="A61">
        <v>2</v>
      </c>
      <c r="B61" t="s">
        <v>139</v>
      </c>
      <c r="C61" t="s">
        <v>140</v>
      </c>
      <c r="D61" t="s">
        <v>141</v>
      </c>
    </row>
    <row r="62" spans="1:4" x14ac:dyDescent="0.25">
      <c r="A62">
        <v>3</v>
      </c>
      <c r="B62" t="s">
        <v>142</v>
      </c>
      <c r="C62" t="s">
        <v>143</v>
      </c>
      <c r="D62" t="s">
        <v>144</v>
      </c>
    </row>
    <row r="63" spans="1:4" x14ac:dyDescent="0.25">
      <c r="A63">
        <v>4</v>
      </c>
      <c r="B63" t="s">
        <v>145</v>
      </c>
      <c r="C63" t="s">
        <v>146</v>
      </c>
      <c r="D63" t="s">
        <v>147</v>
      </c>
    </row>
    <row r="64" spans="1:4" x14ac:dyDescent="0.25">
      <c r="A64">
        <v>5</v>
      </c>
      <c r="B64" t="s">
        <v>148</v>
      </c>
      <c r="C64" t="s">
        <v>149</v>
      </c>
      <c r="D64" t="s">
        <v>150</v>
      </c>
    </row>
    <row r="65" spans="1:4" x14ac:dyDescent="0.25">
      <c r="A65">
        <v>6</v>
      </c>
      <c r="B65" t="s">
        <v>151</v>
      </c>
      <c r="C65" t="s">
        <v>152</v>
      </c>
      <c r="D65" t="s">
        <v>153</v>
      </c>
    </row>
    <row r="68" spans="1:4" x14ac:dyDescent="0.25">
      <c r="A68" s="3" t="s">
        <v>154</v>
      </c>
    </row>
    <row r="69" spans="1:4" x14ac:dyDescent="0.25">
      <c r="A69" s="17" t="s">
        <v>25</v>
      </c>
      <c r="B69" s="17" t="s">
        <v>155</v>
      </c>
      <c r="C69" s="17" t="s">
        <v>28</v>
      </c>
      <c r="D69" s="17" t="s">
        <v>156</v>
      </c>
    </row>
    <row r="70" spans="1:4" x14ac:dyDescent="0.25">
      <c r="A70">
        <v>1</v>
      </c>
      <c r="B70" t="s">
        <v>157</v>
      </c>
      <c r="C70" t="s">
        <v>158</v>
      </c>
      <c r="D70" t="s">
        <v>159</v>
      </c>
    </row>
    <row r="71" spans="1:4" x14ac:dyDescent="0.25">
      <c r="A71">
        <v>2</v>
      </c>
      <c r="B71" t="s">
        <v>160</v>
      </c>
      <c r="C71" t="s">
        <v>161</v>
      </c>
      <c r="D71" t="s">
        <v>162</v>
      </c>
    </row>
    <row r="72" spans="1:4" x14ac:dyDescent="0.25">
      <c r="A72">
        <v>3</v>
      </c>
      <c r="B72" t="s">
        <v>163</v>
      </c>
      <c r="C72" t="s">
        <v>164</v>
      </c>
      <c r="D72" t="s">
        <v>165</v>
      </c>
    </row>
    <row r="73" spans="1:4" x14ac:dyDescent="0.25">
      <c r="A73">
        <v>4</v>
      </c>
      <c r="B73" t="s">
        <v>166</v>
      </c>
      <c r="C73" t="s">
        <v>167</v>
      </c>
      <c r="D73" t="s">
        <v>162</v>
      </c>
    </row>
    <row r="74" spans="1:4" x14ac:dyDescent="0.25">
      <c r="A74">
        <v>5</v>
      </c>
      <c r="B74" t="s">
        <v>168</v>
      </c>
      <c r="C74" t="s">
        <v>169</v>
      </c>
      <c r="D74" t="s">
        <v>170</v>
      </c>
    </row>
    <row r="75" spans="1:4" x14ac:dyDescent="0.25">
      <c r="A75">
        <v>6</v>
      </c>
      <c r="B75" t="s">
        <v>171</v>
      </c>
      <c r="C75" t="s">
        <v>172</v>
      </c>
      <c r="D75" t="s">
        <v>173</v>
      </c>
    </row>
    <row r="76" spans="1:4" x14ac:dyDescent="0.25">
      <c r="A76">
        <v>7</v>
      </c>
      <c r="B76" t="s">
        <v>174</v>
      </c>
      <c r="C76" t="s">
        <v>175</v>
      </c>
      <c r="D76" t="s">
        <v>176</v>
      </c>
    </row>
    <row r="79" spans="1:4" x14ac:dyDescent="0.25">
      <c r="A79" s="18" t="s">
        <v>177</v>
      </c>
    </row>
    <row r="80" spans="1:4" x14ac:dyDescent="0.25">
      <c r="A80" s="19" t="s">
        <v>178</v>
      </c>
      <c r="B80" s="19" t="s">
        <v>179</v>
      </c>
      <c r="C80" s="19" t="s">
        <v>180</v>
      </c>
      <c r="D80" s="19" t="s">
        <v>181</v>
      </c>
    </row>
    <row r="81" spans="1:4" x14ac:dyDescent="0.25">
      <c r="A81" t="s">
        <v>182</v>
      </c>
      <c r="B81" t="s">
        <v>183</v>
      </c>
      <c r="C81" t="s">
        <v>184</v>
      </c>
      <c r="D81" t="s">
        <v>185</v>
      </c>
    </row>
    <row r="82" spans="1:4" x14ac:dyDescent="0.25">
      <c r="A82" t="s">
        <v>186</v>
      </c>
      <c r="B82" t="s">
        <v>187</v>
      </c>
      <c r="C82" t="s">
        <v>188</v>
      </c>
      <c r="D82" t="s">
        <v>189</v>
      </c>
    </row>
    <row r="83" spans="1:4" x14ac:dyDescent="0.25">
      <c r="A83" t="s">
        <v>190</v>
      </c>
      <c r="B83" t="s">
        <v>191</v>
      </c>
      <c r="C83" t="s">
        <v>192</v>
      </c>
      <c r="D83" t="s">
        <v>193</v>
      </c>
    </row>
    <row r="84" spans="1:4" x14ac:dyDescent="0.25">
      <c r="A84" t="s">
        <v>194</v>
      </c>
      <c r="B84" t="s">
        <v>195</v>
      </c>
      <c r="C84" t="s">
        <v>196</v>
      </c>
      <c r="D84" t="s">
        <v>197</v>
      </c>
    </row>
    <row r="85" spans="1:4" x14ac:dyDescent="0.25">
      <c r="A85" t="s">
        <v>198</v>
      </c>
      <c r="B85" t="s">
        <v>199</v>
      </c>
      <c r="C85" t="s">
        <v>200</v>
      </c>
      <c r="D85" t="s">
        <v>201</v>
      </c>
    </row>
    <row r="86" spans="1:4" x14ac:dyDescent="0.25">
      <c r="A86" t="s">
        <v>202</v>
      </c>
      <c r="B86" t="s">
        <v>203</v>
      </c>
      <c r="C86" t="s">
        <v>204</v>
      </c>
      <c r="D86" t="s">
        <v>205</v>
      </c>
    </row>
    <row r="87" spans="1:4" x14ac:dyDescent="0.25">
      <c r="A87" t="s">
        <v>206</v>
      </c>
      <c r="B87" t="s">
        <v>207</v>
      </c>
      <c r="C87" t="s">
        <v>208</v>
      </c>
      <c r="D87" t="s">
        <v>209</v>
      </c>
    </row>
    <row r="88" spans="1:4" x14ac:dyDescent="0.25">
      <c r="A88" t="s">
        <v>210</v>
      </c>
      <c r="B88" t="s">
        <v>211</v>
      </c>
      <c r="C88" t="s">
        <v>212</v>
      </c>
      <c r="D88" t="s">
        <v>213</v>
      </c>
    </row>
    <row r="91" spans="1:4" x14ac:dyDescent="0.25">
      <c r="A91" s="20" t="s">
        <v>214</v>
      </c>
    </row>
    <row r="92" spans="1:4" x14ac:dyDescent="0.25">
      <c r="A92" s="21" t="s">
        <v>215</v>
      </c>
      <c r="B92" s="21" t="s">
        <v>216</v>
      </c>
      <c r="C92" s="21" t="s">
        <v>217</v>
      </c>
    </row>
    <row r="93" spans="1:4" x14ac:dyDescent="0.25">
      <c r="A93" t="s">
        <v>218</v>
      </c>
      <c r="B93">
        <v>30</v>
      </c>
      <c r="C93" t="s">
        <v>219</v>
      </c>
    </row>
    <row r="94" spans="1:4" x14ac:dyDescent="0.25">
      <c r="A94" t="s">
        <v>220</v>
      </c>
      <c r="B94">
        <v>9</v>
      </c>
      <c r="C94" t="s">
        <v>221</v>
      </c>
    </row>
    <row r="95" spans="1:4" x14ac:dyDescent="0.25">
      <c r="A95" t="s">
        <v>222</v>
      </c>
      <c r="B95">
        <v>7</v>
      </c>
      <c r="C95" t="s">
        <v>223</v>
      </c>
    </row>
    <row r="96" spans="1:4" x14ac:dyDescent="0.25">
      <c r="A96" t="s">
        <v>224</v>
      </c>
      <c r="B96">
        <v>14</v>
      </c>
      <c r="C96" t="s">
        <v>225</v>
      </c>
    </row>
    <row r="97" spans="1:3" x14ac:dyDescent="0.25">
      <c r="A97" s="22" t="s">
        <v>226</v>
      </c>
      <c r="B97" s="22">
        <f>ROUND((B94+B95/2)/B93*100,0)</f>
        <v>42</v>
      </c>
      <c r="C97" s="22" t="s">
        <v>227</v>
      </c>
    </row>
    <row r="100" spans="1:3" ht="15.75" x14ac:dyDescent="0.25">
      <c r="A100" s="23" t="s">
        <v>228</v>
      </c>
    </row>
    <row r="101" spans="1:3" x14ac:dyDescent="0.25">
      <c r="A101" t="s">
        <v>229</v>
      </c>
    </row>
    <row r="103" spans="1:3" x14ac:dyDescent="0.25">
      <c r="A103" t="s">
        <v>230</v>
      </c>
    </row>
    <row r="104" spans="1:3" x14ac:dyDescent="0.25">
      <c r="A104" t="s">
        <v>231</v>
      </c>
    </row>
    <row r="106" spans="1:3" x14ac:dyDescent="0.25">
      <c r="A106" t="s">
        <v>232</v>
      </c>
    </row>
    <row r="107" spans="1:3" x14ac:dyDescent="0.25">
      <c r="A107" t="s">
        <v>233</v>
      </c>
    </row>
    <row r="109" spans="1:3" x14ac:dyDescent="0.25">
      <c r="A109" s="22" t="s">
        <v>234</v>
      </c>
    </row>
    <row r="110" spans="1:3" x14ac:dyDescent="0.25">
      <c r="A110" s="2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UST Bilimsel Değerlendirme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2026-04-23T11:00:21Z</dcterms:created>
  <dcterms:modified xsi:type="dcterms:W3CDTF">2026-04-23T11:00:22Z</dcterms:modified>
</cp:coreProperties>
</file>