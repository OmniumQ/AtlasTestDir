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0D1A7CBF-6027-4FA7-9572-B3F4A528B46C}" xr6:coauthVersionLast="47" xr6:coauthVersionMax="47" xr10:uidLastSave="{00000000-0000-0000-0000-000000000000}"/>
  <bookViews>
    <workbookView xWindow="-120" yWindow="-120" windowWidth="29040" windowHeight="15720" xr2:uid="{9DAA15D8-16B9-4633-8EF4-517DE6FECE38}"/>
  </bookViews>
  <sheets>
    <sheet name="UST-Deneysel-Ver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6" i="1" l="1"/>
  <c r="C87" i="1" s="1"/>
  <c r="C85" i="1"/>
  <c r="C81" i="1"/>
  <c r="C80" i="1"/>
  <c r="C82" i="1" s="1"/>
  <c r="C83" i="1" l="1"/>
  <c r="C84" i="1" s="1"/>
</calcChain>
</file>

<file path=xl/sharedStrings.xml><?xml version="1.0" encoding="utf-8"?>
<sst xmlns="http://schemas.openxmlformats.org/spreadsheetml/2006/main" count="421" uniqueCount="299">
  <si>
    <t>🔬 UST v5: DENEYSEL VERİ ANALİZİ - LHC/LIGO/JWST/Euclid</t>
  </si>
  <si>
    <t>4 Bilimsel Veri Kaynağı × UST Parametreleri | 23 Nisan 2026</t>
  </si>
  <si>
    <t>📊 BÖLÜM 1: VERİ KAYNAKLARI ÖZETİ</t>
  </si>
  <si>
    <t>Kaynak</t>
  </si>
  <si>
    <t>Dosya Türü</t>
  </si>
  <si>
    <t>Boyut</t>
  </si>
  <si>
    <t>Satır/Örnek</t>
  </si>
  <si>
    <t>Kolon</t>
  </si>
  <si>
    <t>Alan</t>
  </si>
  <si>
    <t>UST Test</t>
  </si>
  <si>
    <t>Durum</t>
  </si>
  <si>
    <t>ATLAS/LHC (CERN)</t>
  </si>
  <si>
    <t>ROOT</t>
  </si>
  <si>
    <t>319.35 MB</t>
  </si>
  <si>
    <t>Parçacık Fiziği</t>
  </si>
  <si>
    <t>α/17 düzeltme</t>
  </si>
  <si>
    <t>✅</t>
  </si>
  <si>
    <t>LIGO O4a (H1)</t>
  </si>
  <si>
    <t>HDF5</t>
  </si>
  <si>
    <t>512.33 MB</t>
  </si>
  <si>
    <t>Gravitasyonel Dalga</t>
  </si>
  <si>
    <t>TOm baskılama</t>
  </si>
  <si>
    <t>JWST NIRSpec</t>
  </si>
  <si>
    <t>FITS</t>
  </si>
  <si>
    <t>1.64 MB</t>
  </si>
  <si>
    <t>26 × 3817</t>
  </si>
  <si>
    <t>6 HDU</t>
  </si>
  <si>
    <t>Spektroskopi</t>
  </si>
  <si>
    <t>Redshift z</t>
  </si>
  <si>
    <t>Euclid TPDR</t>
  </si>
  <si>
    <t>VOTable</t>
  </si>
  <si>
    <t>664.36 MB</t>
  </si>
  <si>
    <t>Foto-z</t>
  </si>
  <si>
    <t>Kozmoloji Λ</t>
  </si>
  <si>
    <t>📊 BÖLÜM 2: ATLAS/LHC VERİSİ - Parçacık Fiziği (ROOT)</t>
  </si>
  <si>
    <t>Kolon Adı</t>
  </si>
  <si>
    <t>Veri Tipi</t>
  </si>
  <si>
    <t>Açıklama</t>
  </si>
  <si>
    <t>UST İlişkisi</t>
  </si>
  <si>
    <t>Test Potansiyeli</t>
  </si>
  <si>
    <t>num_events</t>
  </si>
  <si>
    <t>float64</t>
  </si>
  <si>
    <t>Olay sayısı</t>
  </si>
  <si>
    <t>-</t>
  </si>
  <si>
    <t>📊</t>
  </si>
  <si>
    <t>sum_of_weights</t>
  </si>
  <si>
    <t>Ağırlık toplamı</t>
  </si>
  <si>
    <t>Ns,q ağırlık</t>
  </si>
  <si>
    <t>Korelasyon</t>
  </si>
  <si>
    <t>⚠️</t>
  </si>
  <si>
    <t>category</t>
  </si>
  <si>
    <t>string</t>
  </si>
  <si>
    <t>data16 kategorisi</t>
  </si>
  <si>
    <t>ScaleFactor_FTAG</t>
  </si>
  <si>
    <t>float32</t>
  </si>
  <si>
    <t>Flavor tagging SF</t>
  </si>
  <si>
    <t>17-parçacık</t>
  </si>
  <si>
    <t>SM kontrol</t>
  </si>
  <si>
    <t>mcWeight</t>
  </si>
  <si>
    <t>Monte Carlo ağırlık</t>
  </si>
  <si>
    <t>QFT simülasyon</t>
  </si>
  <si>
    <t>Karşılaştır</t>
  </si>
  <si>
    <t>xsec</t>
  </si>
  <si>
    <t>Kesit alanı σ</t>
  </si>
  <si>
    <t>🔥 KRİTİK</t>
  </si>
  <si>
    <t>🔥</t>
  </si>
  <si>
    <t>channelNumber</t>
  </si>
  <si>
    <t>uint32</t>
  </si>
  <si>
    <t>Kanal numarası</t>
  </si>
  <si>
    <t>17 kanal?</t>
  </si>
  <si>
    <t>Kontrol</t>
  </si>
  <si>
    <t>jet_n</t>
  </si>
  <si>
    <t>int32</t>
  </si>
  <si>
    <t>Jet sayısı</t>
  </si>
  <si>
    <t>jet_pt</t>
  </si>
  <si>
    <t>float32[]</t>
  </si>
  <si>
    <t>Jet transvers pT</t>
  </si>
  <si>
    <t>Enerji ölçek</t>
  </si>
  <si>
    <t>Test</t>
  </si>
  <si>
    <t>met_et</t>
  </si>
  <si>
    <t>Missing ET</t>
  </si>
  <si>
    <t>Omnium imza?</t>
  </si>
  <si>
    <t>lep_pt</t>
  </si>
  <si>
    <t>Lepton pT</t>
  </si>
  <si>
    <t>SM lepton</t>
  </si>
  <si>
    <t>17-SM</t>
  </si>
  <si>
    <t>ScaleFactor_BTAG</t>
  </si>
  <si>
    <t>b-tagging SF</t>
  </si>
  <si>
    <t>Kuark sayım</t>
  </si>
  <si>
    <t>SM</t>
  </si>
  <si>
    <t>📈 LHC İstatistikleri:</t>
  </si>
  <si>
    <t>Toplam Olay</t>
  </si>
  <si>
    <t>Toplam Kolon</t>
  </si>
  <si>
    <t>Veri Periyodu</t>
  </si>
  <si>
    <t>data16 (2016)</t>
  </si>
  <si>
    <t>Kanal</t>
  </si>
  <si>
    <t>2J2LMET30</t>
  </si>
  <si>
    <t>📊 BÖLÜM 3: LIGO O4a VERİSİ - Gravitasyonel Dalga (HDF5)</t>
  </si>
  <si>
    <t>Dataset</t>
  </si>
  <si>
    <t>Shape</t>
  </si>
  <si>
    <t>Dtype</t>
  </si>
  <si>
    <t>Boyut (MB)</t>
  </si>
  <si>
    <t>/strain/Strain</t>
  </si>
  <si>
    <t>GW strain h(t)</t>
  </si>
  <si>
    <t>/meta/GPSstart</t>
  </si>
  <si>
    <t>skaler</t>
  </si>
  <si>
    <t>int64</t>
  </si>
  <si>
    <t>~0</t>
  </si>
  <si>
    <t>GPS: 1368993792</t>
  </si>
  <si>
    <t>Zaman</t>
  </si>
  <si>
    <t>/meta/Duration</t>
  </si>
  <si>
    <t>Süre: 4096 s</t>
  </si>
  <si>
    <t>Örnekleme</t>
  </si>
  <si>
    <t>/meta/Detector</t>
  </si>
  <si>
    <t>object</t>
  </si>
  <si>
    <t>H1 (Hanford)</t>
  </si>
  <si>
    <t>Lokasyon</t>
  </si>
  <si>
    <t>/quality/DQmask</t>
  </si>
  <si>
    <t>Veri kalitesi</t>
  </si>
  <si>
    <t>Filtre</t>
  </si>
  <si>
    <t>Örnekleme Hızı</t>
  </si>
  <si>
    <t>16 kHz</t>
  </si>
  <si>
    <t>Frekans</t>
  </si>
  <si>
    <t>Strain Örnek</t>
  </si>
  <si>
    <t>~4.1-4.7×10⁻¹⁹</t>
  </si>
  <si>
    <t>GW genliği</t>
  </si>
  <si>
    <t>🔬 LIGO-UST Test Önerisi:</t>
  </si>
  <si>
    <t>Strain verisinde TOm = 0.2325 baskılama imzası aranmalı</t>
  </si>
  <si>
    <t>Graviton propagatörü: ⟨hμνhρσ⟩ = Pμνρσ·(1-α·k²·lp²/17)/(k²+iε)</t>
  </si>
  <si>
    <t>Frekans spektrumunda α/17 ≈ 0.000429 sapma kontrolü</t>
  </si>
  <si>
    <t>📊 BÖLÜM 4: JWST NIRSpec VERİSİ - Spektroskopi (FITS)</t>
  </si>
  <si>
    <t>HDU</t>
  </si>
  <si>
    <t>İsim</t>
  </si>
  <si>
    <t>Tip</t>
  </si>
  <si>
    <t>HDU 0</t>
  </si>
  <si>
    <t>PRIMARY</t>
  </si>
  <si>
    <t>PrimaryHDU</t>
  </si>
  <si>
    <t>JWST/NIRSpec meta</t>
  </si>
  <si>
    <t>Teleskop</t>
  </si>
  <si>
    <t>HDU 1</t>
  </si>
  <si>
    <t>FLUX</t>
  </si>
  <si>
    <t>ImageHDU</t>
  </si>
  <si>
    <t>26×3817</t>
  </si>
  <si>
    <t>Akı verisi</t>
  </si>
  <si>
    <t>Işık şiddeti</t>
  </si>
  <si>
    <t>HDU 2</t>
  </si>
  <si>
    <t>FLUX_ERR</t>
  </si>
  <si>
    <t>Akı hatası</t>
  </si>
  <si>
    <t>Belirsizlik</t>
  </si>
  <si>
    <t>HDU 3</t>
  </si>
  <si>
    <t>WAVELENGTH</t>
  </si>
  <si>
    <t>1.66-3.17 μm</t>
  </si>
  <si>
    <t>HDU 4</t>
  </si>
  <si>
    <t>RA-DEC</t>
  </si>
  <si>
    <t>BinTableHDU</t>
  </si>
  <si>
    <t>26×2</t>
  </si>
  <si>
    <t>Koordinatlar</t>
  </si>
  <si>
    <t>Kozmoloji</t>
  </si>
  <si>
    <t>📈 JWST Spektroskopi İstatistikleri:</t>
  </si>
  <si>
    <t>Hedef</t>
  </si>
  <si>
    <t>aegis-2020007552</t>
  </si>
  <si>
    <t>F170LP</t>
  </si>
  <si>
    <t>Grating</t>
  </si>
  <si>
    <t>G235H</t>
  </si>
  <si>
    <t>Dalga Boyu Aralığı</t>
  </si>
  <si>
    <t>1.66 - 3.17 μm</t>
  </si>
  <si>
    <t>📊 BÖLÜM 5: Euclid TPDR VERİSİ - Fotometrik Redshift (VOTable)</t>
  </si>
  <si>
    <t>Örnek Değer</t>
  </si>
  <si>
    <t>object_id</t>
  </si>
  <si>
    <t>long</t>
  </si>
  <si>
    <t>Benzersiz nesne ID</t>
  </si>
  <si>
    <t>2646150156...</t>
  </si>
  <si>
    <t>z_phot_med</t>
  </si>
  <si>
    <t>double</t>
  </si>
  <si>
    <t>Medyan foto-z</t>
  </si>
  <si>
    <t>H₀ testi</t>
  </si>
  <si>
    <t>z_phot_peak</t>
  </si>
  <si>
    <t>Peak foto-z</t>
  </si>
  <si>
    <t>z dağılımı</t>
  </si>
  <si>
    <t>KRİTİK</t>
  </si>
  <si>
    <t>phz_70_int</t>
  </si>
  <si>
    <t>double[]</t>
  </si>
  <si>
    <t>%70 güven aralığı</t>
  </si>
  <si>
    <t>[0.33, 5.54]</t>
  </si>
  <si>
    <t>phz_90_int</t>
  </si>
  <si>
    <t>%90 güven aralığı</t>
  </si>
  <si>
    <t>[0.17, 5.73]</t>
  </si>
  <si>
    <t>phz_pdf</t>
  </si>
  <si>
    <t>Redshift PDF</t>
  </si>
  <si>
    <t>vektör</t>
  </si>
  <si>
    <t>Λ hesabı</t>
  </si>
  <si>
    <t>tom_bin_id</t>
  </si>
  <si>
    <t>int</t>
  </si>
  <si>
    <t>Tomografik bin</t>
  </si>
  <si>
    <t>📈 Euclid Foto-z İstatistikleri:</t>
  </si>
  <si>
    <t>Toplam Nesne</t>
  </si>
  <si>
    <t>z_phot_med Aralığı</t>
  </si>
  <si>
    <t>0.48 - 3.09</t>
  </si>
  <si>
    <t>Veri Seti</t>
  </si>
  <si>
    <t>TPDR (Test Production Data Release)</t>
  </si>
  <si>
    <t>📊 BÖLÜM 6: UST v5 PARAMETRELERİ VE DENEYSEL KARŞILAŞTIRMA</t>
  </si>
  <si>
    <t>UST Parametre</t>
  </si>
  <si>
    <t>Sembol</t>
  </si>
  <si>
    <t>Değer</t>
  </si>
  <si>
    <t>Formül</t>
  </si>
  <si>
    <t>Deneysel Kaynak</t>
  </si>
  <si>
    <t>Test Durumu</t>
  </si>
  <si>
    <t>İnce Yapı Sabiti</t>
  </si>
  <si>
    <t>α</t>
  </si>
  <si>
    <t>e²/(4πε₀ℏc)</t>
  </si>
  <si>
    <t>CODATA</t>
  </si>
  <si>
    <t>✅ SABİT</t>
  </si>
  <si>
    <t>Serbestlik Derecesi</t>
  </si>
  <si>
    <t>DOF</t>
  </si>
  <si>
    <t>Cl(1,3)+SU(1)</t>
  </si>
  <si>
    <t>LHC SM parçacık</t>
  </si>
  <si>
    <t>✅ TÜRETİLDİ</t>
  </si>
  <si>
    <t>UST Düzeltme</t>
  </si>
  <si>
    <t>α/17</t>
  </si>
  <si>
    <t>α÷DOF</t>
  </si>
  <si>
    <t>LHC kesit alanı</t>
  </si>
  <si>
    <t>⏳ TEST EDİLECEK</t>
  </si>
  <si>
    <t>Baseline</t>
  </si>
  <si>
    <t>B₀</t>
  </si>
  <si>
    <t>(3-√3)/2</t>
  </si>
  <si>
    <t>Köprü Katsayısı</t>
  </si>
  <si>
    <t>Ns,q</t>
  </si>
  <si>
    <t>B₀-α/17</t>
  </si>
  <si>
    <t>✅ HESAPLANDI</t>
  </si>
  <si>
    <t>Kanal Bağlantısı</t>
  </si>
  <si>
    <t>Ccb</t>
  </si>
  <si>
    <t>1-Ns,q</t>
  </si>
  <si>
    <t>Tünel Genliği</t>
  </si>
  <si>
    <t>TOm</t>
  </si>
  <si>
    <t>exp(-2π·Ns,q·Ccb)</t>
  </si>
  <si>
    <t>LIGO GW</t>
  </si>
  <si>
    <t>Heat Kernel</t>
  </si>
  <si>
    <t>a₂</t>
  </si>
  <si>
    <t>QFT</t>
  </si>
  <si>
    <t>Λ Baskılama</t>
  </si>
  <si>
    <t>σ</t>
  </si>
  <si>
    <t>(1/17)^100</t>
  </si>
  <si>
    <t>Euclid Λ</t>
  </si>
  <si>
    <t>Λ Baskılama Log</t>
  </si>
  <si>
    <t>log₁₀(σ)</t>
  </si>
  <si>
    <t>100×log₁₀(1/17)</t>
  </si>
  <si>
    <t>≈-123 ✅</t>
  </si>
  <si>
    <t>📊 BÖLÜM 7: UST-DENEYSEL TEST MATRİSİ</t>
  </si>
  <si>
    <t>Veri Kaynağı</t>
  </si>
  <si>
    <t>Test Yöntemi</t>
  </si>
  <si>
    <t>Beklenen Değer</t>
  </si>
  <si>
    <t>Tolerans</t>
  </si>
  <si>
    <t>Öncelik</t>
  </si>
  <si>
    <t>Tarih</t>
  </si>
  <si>
    <t>LHC/ATLAS</t>
  </si>
  <si>
    <t>Kesit alanı σ sapması</t>
  </si>
  <si>
    <t>±0.00001</t>
  </si>
  <si>
    <t>2026+</t>
  </si>
  <si>
    <t>⏳</t>
  </si>
  <si>
    <t>LIGO O4a</t>
  </si>
  <si>
    <t>GW strain FFT</t>
  </si>
  <si>
    <t>±0.01</t>
  </si>
  <si>
    <t>SM parçacık sayımı</t>
  </si>
  <si>
    <t>±0</t>
  </si>
  <si>
    <t>YÜKSEK</t>
  </si>
  <si>
    <t>Mevcut</t>
  </si>
  <si>
    <t>Λ problemi</t>
  </si>
  <si>
    <t>Euclid foto-z</t>
  </si>
  <si>
    <t>Kozmolojik sabit</t>
  </si>
  <si>
    <t>10⁻¹²³</t>
  </si>
  <si>
    <t>±5%</t>
  </si>
  <si>
    <t>H₀ gerilimi</t>
  </si>
  <si>
    <t>Euclid+JWST</t>
  </si>
  <si>
    <t>Hubble sabiti</t>
  </si>
  <si>
    <t>67.4±0.5</t>
  </si>
  <si>
    <t>±1%</t>
  </si>
  <si>
    <t>Ns,q = 0.6335</t>
  </si>
  <si>
    <t>CMB/Planck</t>
  </si>
  <si>
    <t>Kozmolojik parametre</t>
  </si>
  <si>
    <t>±0.001</t>
  </si>
  <si>
    <t>ORTA</t>
  </si>
  <si>
    <t>JWST spektrum</t>
  </si>
  <si>
    <t>Dalga boyu kayması</t>
  </si>
  <si>
    <t>z &gt; 1</t>
  </si>
  <si>
    <t>📊 BÖLÜM 8: RASYONEL VE DÜRÜST DEĞERLENDİRME</t>
  </si>
  <si>
    <t>✅ OLGULAR (Kanıtlanmış):</t>
  </si>
  <si>
    <t>1. Tüm 4 veri dosyası başarıyla okundu ve yapısı analiz edildi</t>
  </si>
  <si>
    <t>2. LHC verisi 119 kolon × 1M+ olay içeriyor - SM parçacık analizi mümkün</t>
  </si>
  <si>
    <t>3. LIGO strain verisi 67M örnek × 16kHz - GW spektrum analizi mümkün</t>
  </si>
  <si>
    <t>4. JWST 1.66-3.17 μm spektrum - yüksek-z galaksi redshift analizi mümkün</t>
  </si>
  <si>
    <t>5. Euclid 100K nesne × foto-z PDF - kozmolojik parametre testi mümkün</t>
  </si>
  <si>
    <t>⚠️ SINIRLAMALAR:</t>
  </si>
  <si>
    <t>1. α/17 düzeltme LHC'de henüz test EDİLMEDİ - veri analizi GEREKLİ</t>
  </si>
  <si>
    <t>2. TOm baskılama LIGO'da henüz ARANMADI - FFT analizi GEREKLİ</t>
  </si>
  <si>
    <t>3. Λ problemi Euclid ile henüz DOĞRULANMADI - kozmoloji fitlemesi GEREKLİ</t>
  </si>
  <si>
    <t>📝 SONUÇ:</t>
  </si>
  <si>
    <t>Deneysel veriler MEVCUT ve ANALİZ İÇİN HAZIR.</t>
  </si>
  <si>
    <t>UST v5 parametreleri ile karşılaştırma için detaylı veri işleme GEREKLİ.</t>
  </si>
  <si>
    <t>Bu veriler UST'yi DOĞRULAMAMAKTA, sadece test POTANSİYELİ sunmaktadır.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</si>
</sst>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4"/>
      <color theme="1"/>
      <name val="Aptos Narrow"/>
      <family val="2"/>
      <charset val="162"/>
      <scheme val="minor"/>
    </font>
    <font>
      <b/>
      <sz val="11"/>
      <color rgb="FFFFFFFF"/>
      <name val="Aptos Narrow"/>
      <family val="2"/>
      <charset val="16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81C784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64B5F6"/>
        <bgColor indexed="64"/>
      </patternFill>
    </fill>
    <fill>
      <patternFill patternType="solid">
        <fgColor rgb="FF7B1FA2"/>
        <bgColor indexed="64"/>
      </patternFill>
    </fill>
    <fill>
      <patternFill patternType="solid">
        <fgColor rgb="FFBA68C8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B74D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EF9A9A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80CBC4"/>
        <bgColor indexed="64"/>
      </patternFill>
    </fill>
    <fill>
      <patternFill patternType="solid">
        <fgColor rgb="FF3747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0" xfId="0" applyFont="1" applyFill="1"/>
    <xf numFmtId="3" fontId="0" fillId="0" borderId="0" xfId="0" applyNumberFormat="1"/>
    <xf numFmtId="0" fontId="3" fillId="3" borderId="0" xfId="0" applyFont="1" applyFill="1"/>
    <xf numFmtId="0" fontId="1" fillId="4" borderId="0" xfId="0" applyFont="1" applyFill="1"/>
    <xf numFmtId="0" fontId="3" fillId="5" borderId="0" xfId="0" applyFont="1" applyFill="1"/>
    <xf numFmtId="0" fontId="1" fillId="6" borderId="0" xfId="0" applyFont="1" applyFill="1"/>
    <xf numFmtId="0" fontId="3" fillId="7" borderId="0" xfId="0" applyFont="1" applyFill="1"/>
    <xf numFmtId="0" fontId="1" fillId="8" borderId="0" xfId="0" applyFont="1" applyFill="1"/>
    <xf numFmtId="0" fontId="3" fillId="9" borderId="0" xfId="0" applyFont="1" applyFill="1"/>
    <xf numFmtId="0" fontId="1" fillId="10" borderId="0" xfId="0" applyFont="1" applyFill="1"/>
    <xf numFmtId="0" fontId="3" fillId="11" borderId="0" xfId="0" applyFont="1" applyFill="1"/>
    <xf numFmtId="0" fontId="1" fillId="12" borderId="0" xfId="0" applyFont="1" applyFill="1"/>
    <xf numFmtId="16" fontId="0" fillId="0" borderId="0" xfId="0" applyNumberFormat="1"/>
    <xf numFmtId="0" fontId="3" fillId="13" borderId="0" xfId="0" applyFont="1" applyFill="1"/>
    <xf numFmtId="0" fontId="1" fillId="14" borderId="0" xfId="0" applyFont="1" applyFill="1"/>
    <xf numFmtId="0" fontId="3" fillId="1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C011F-C736-46FB-827B-6DF55CFDA5C0}">
  <sheetPr codeName="Sayfa27"/>
  <dimension ref="A1:H118"/>
  <sheetViews>
    <sheetView tabSelected="1" topLeftCell="A81" workbookViewId="0"/>
  </sheetViews>
  <sheetFormatPr defaultRowHeight="15" x14ac:dyDescent="0.25"/>
  <cols>
    <col min="1" max="1" width="34.28515625" customWidth="1"/>
    <col min="2" max="2" width="19" customWidth="1"/>
    <col min="3" max="3" width="22.85546875" customWidth="1"/>
    <col min="4" max="4" width="24.7109375" customWidth="1"/>
    <col min="5" max="5" width="22.85546875" customWidth="1"/>
    <col min="6" max="6" width="19" customWidth="1"/>
    <col min="7" max="7" width="17.140625" customWidth="1"/>
    <col min="8" max="8" width="15.28515625" customWidth="1"/>
  </cols>
  <sheetData>
    <row r="1" spans="1:8" ht="18.75" x14ac:dyDescent="0.3">
      <c r="A1" s="1" t="s">
        <v>0</v>
      </c>
    </row>
    <row r="2" spans="1:8" x14ac:dyDescent="0.25">
      <c r="A2" t="s">
        <v>1</v>
      </c>
    </row>
    <row r="4" spans="1:8" x14ac:dyDescent="0.25">
      <c r="A4" s="2" t="s">
        <v>2</v>
      </c>
    </row>
    <row r="5" spans="1:8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x14ac:dyDescent="0.25">
      <c r="A6" t="s">
        <v>11</v>
      </c>
      <c r="B6" t="s">
        <v>12</v>
      </c>
      <c r="C6" t="s">
        <v>13</v>
      </c>
      <c r="D6" s="4">
        <v>1015729</v>
      </c>
      <c r="E6">
        <v>119</v>
      </c>
      <c r="F6" t="s">
        <v>14</v>
      </c>
      <c r="G6" t="s">
        <v>15</v>
      </c>
      <c r="H6" t="s">
        <v>16</v>
      </c>
    </row>
    <row r="7" spans="1:8" x14ac:dyDescent="0.25">
      <c r="A7" t="s">
        <v>17</v>
      </c>
      <c r="B7" t="s">
        <v>18</v>
      </c>
      <c r="C7" t="s">
        <v>19</v>
      </c>
      <c r="D7" s="4">
        <v>67108864</v>
      </c>
      <c r="E7">
        <v>20</v>
      </c>
      <c r="F7" t="s">
        <v>20</v>
      </c>
      <c r="G7" t="s">
        <v>21</v>
      </c>
      <c r="H7" t="s">
        <v>16</v>
      </c>
    </row>
    <row r="8" spans="1:8" x14ac:dyDescent="0.25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16</v>
      </c>
    </row>
    <row r="9" spans="1:8" x14ac:dyDescent="0.25">
      <c r="A9" t="s">
        <v>29</v>
      </c>
      <c r="B9" t="s">
        <v>30</v>
      </c>
      <c r="C9" t="s">
        <v>31</v>
      </c>
      <c r="D9" s="4">
        <v>100000</v>
      </c>
      <c r="E9">
        <v>9</v>
      </c>
      <c r="F9" t="s">
        <v>32</v>
      </c>
      <c r="G9" t="s">
        <v>33</v>
      </c>
      <c r="H9" t="s">
        <v>16</v>
      </c>
    </row>
    <row r="11" spans="1:8" x14ac:dyDescent="0.25">
      <c r="A11" s="5" t="s">
        <v>34</v>
      </c>
    </row>
    <row r="12" spans="1:8" x14ac:dyDescent="0.25">
      <c r="A12" s="6" t="s">
        <v>35</v>
      </c>
      <c r="B12" s="6" t="s">
        <v>36</v>
      </c>
      <c r="C12" s="6" t="s">
        <v>37</v>
      </c>
      <c r="D12" s="6" t="s">
        <v>38</v>
      </c>
      <c r="E12" s="6" t="s">
        <v>39</v>
      </c>
      <c r="F12" s="6" t="s">
        <v>10</v>
      </c>
    </row>
    <row r="13" spans="1:8" x14ac:dyDescent="0.25">
      <c r="A13" t="s">
        <v>40</v>
      </c>
      <c r="B13" t="s">
        <v>41</v>
      </c>
      <c r="C13" t="s">
        <v>42</v>
      </c>
      <c r="D13" t="s">
        <v>43</v>
      </c>
      <c r="E13" t="s">
        <v>43</v>
      </c>
      <c r="F13" t="s">
        <v>44</v>
      </c>
    </row>
    <row r="14" spans="1:8" x14ac:dyDescent="0.25">
      <c r="A14" t="s">
        <v>45</v>
      </c>
      <c r="B14" t="s">
        <v>41</v>
      </c>
      <c r="C14" t="s">
        <v>46</v>
      </c>
      <c r="D14" t="s">
        <v>47</v>
      </c>
      <c r="E14" t="s">
        <v>48</v>
      </c>
      <c r="F14" t="s">
        <v>49</v>
      </c>
    </row>
    <row r="15" spans="1:8" x14ac:dyDescent="0.25">
      <c r="A15" t="s">
        <v>50</v>
      </c>
      <c r="B15" t="s">
        <v>51</v>
      </c>
      <c r="C15" t="s">
        <v>52</v>
      </c>
      <c r="D15" t="s">
        <v>43</v>
      </c>
      <c r="E15" t="s">
        <v>43</v>
      </c>
      <c r="F15" t="s">
        <v>44</v>
      </c>
    </row>
    <row r="16" spans="1:8" x14ac:dyDescent="0.25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49</v>
      </c>
    </row>
    <row r="17" spans="1:6" x14ac:dyDescent="0.25">
      <c r="A17" t="s">
        <v>58</v>
      </c>
      <c r="B17" t="s">
        <v>54</v>
      </c>
      <c r="C17" t="s">
        <v>59</v>
      </c>
      <c r="D17" t="s">
        <v>60</v>
      </c>
      <c r="E17" t="s">
        <v>61</v>
      </c>
      <c r="F17" t="s">
        <v>49</v>
      </c>
    </row>
    <row r="18" spans="1:6" x14ac:dyDescent="0.25">
      <c r="A18" t="s">
        <v>62</v>
      </c>
      <c r="B18" t="s">
        <v>54</v>
      </c>
      <c r="C18" t="s">
        <v>63</v>
      </c>
      <c r="D18" t="s">
        <v>15</v>
      </c>
      <c r="E18" t="s">
        <v>64</v>
      </c>
      <c r="F18" t="s">
        <v>65</v>
      </c>
    </row>
    <row r="19" spans="1:6" x14ac:dyDescent="0.25">
      <c r="A19" t="s">
        <v>66</v>
      </c>
      <c r="B19" t="s">
        <v>67</v>
      </c>
      <c r="C19" t="s">
        <v>68</v>
      </c>
      <c r="D19" t="s">
        <v>69</v>
      </c>
      <c r="E19" t="s">
        <v>70</v>
      </c>
      <c r="F19" t="s">
        <v>49</v>
      </c>
    </row>
    <row r="20" spans="1:6" x14ac:dyDescent="0.25">
      <c r="A20" t="s">
        <v>71</v>
      </c>
      <c r="B20" t="s">
        <v>72</v>
      </c>
      <c r="C20" t="s">
        <v>73</v>
      </c>
      <c r="D20" t="s">
        <v>43</v>
      </c>
      <c r="E20" t="s">
        <v>43</v>
      </c>
      <c r="F20" t="s">
        <v>44</v>
      </c>
    </row>
    <row r="21" spans="1:6" x14ac:dyDescent="0.25">
      <c r="A21" t="s">
        <v>74</v>
      </c>
      <c r="B21" t="s">
        <v>75</v>
      </c>
      <c r="C21" t="s">
        <v>76</v>
      </c>
      <c r="D21" t="s">
        <v>77</v>
      </c>
      <c r="E21" t="s">
        <v>78</v>
      </c>
      <c r="F21" t="s">
        <v>49</v>
      </c>
    </row>
    <row r="22" spans="1:6" x14ac:dyDescent="0.25">
      <c r="A22" t="s">
        <v>79</v>
      </c>
      <c r="B22" t="s">
        <v>54</v>
      </c>
      <c r="C22" t="s">
        <v>80</v>
      </c>
      <c r="D22" t="s">
        <v>81</v>
      </c>
      <c r="E22" t="s">
        <v>64</v>
      </c>
      <c r="F22" t="s">
        <v>65</v>
      </c>
    </row>
    <row r="23" spans="1:6" x14ac:dyDescent="0.25">
      <c r="A23" t="s">
        <v>82</v>
      </c>
      <c r="B23" t="s">
        <v>75</v>
      </c>
      <c r="C23" t="s">
        <v>83</v>
      </c>
      <c r="D23" t="s">
        <v>84</v>
      </c>
      <c r="E23" t="s">
        <v>85</v>
      </c>
      <c r="F23" t="s">
        <v>49</v>
      </c>
    </row>
    <row r="24" spans="1:6" x14ac:dyDescent="0.25">
      <c r="A24" t="s">
        <v>86</v>
      </c>
      <c r="B24" t="s">
        <v>54</v>
      </c>
      <c r="C24" t="s">
        <v>87</v>
      </c>
      <c r="D24" t="s">
        <v>88</v>
      </c>
      <c r="E24" t="s">
        <v>89</v>
      </c>
      <c r="F24" t="s">
        <v>49</v>
      </c>
    </row>
    <row r="26" spans="1:6" x14ac:dyDescent="0.25">
      <c r="A26" s="2" t="s">
        <v>90</v>
      </c>
    </row>
    <row r="27" spans="1:6" x14ac:dyDescent="0.25">
      <c r="A27" t="s">
        <v>91</v>
      </c>
      <c r="B27">
        <v>1015729</v>
      </c>
    </row>
    <row r="28" spans="1:6" x14ac:dyDescent="0.25">
      <c r="A28" t="s">
        <v>92</v>
      </c>
      <c r="B28">
        <v>119</v>
      </c>
    </row>
    <row r="29" spans="1:6" x14ac:dyDescent="0.25">
      <c r="A29" t="s">
        <v>93</v>
      </c>
      <c r="B29" t="s">
        <v>94</v>
      </c>
    </row>
    <row r="30" spans="1:6" x14ac:dyDescent="0.25">
      <c r="A30" t="s">
        <v>95</v>
      </c>
      <c r="B30" t="s">
        <v>96</v>
      </c>
    </row>
    <row r="32" spans="1:6" x14ac:dyDescent="0.25">
      <c r="A32" s="7" t="s">
        <v>97</v>
      </c>
    </row>
    <row r="33" spans="1:7" x14ac:dyDescent="0.25">
      <c r="A33" s="8" t="s">
        <v>98</v>
      </c>
      <c r="B33" s="8" t="s">
        <v>99</v>
      </c>
      <c r="C33" s="8" t="s">
        <v>100</v>
      </c>
      <c r="D33" s="8" t="s">
        <v>101</v>
      </c>
      <c r="E33" s="8" t="s">
        <v>37</v>
      </c>
      <c r="F33" s="8" t="s">
        <v>38</v>
      </c>
      <c r="G33" s="8" t="s">
        <v>78</v>
      </c>
    </row>
    <row r="34" spans="1:7" x14ac:dyDescent="0.25">
      <c r="A34" t="s">
        <v>102</v>
      </c>
      <c r="B34" s="4">
        <v>67108864</v>
      </c>
      <c r="C34" t="s">
        <v>41</v>
      </c>
      <c r="D34">
        <v>536.87</v>
      </c>
      <c r="E34" t="s">
        <v>103</v>
      </c>
      <c r="F34" t="s">
        <v>21</v>
      </c>
      <c r="G34" t="s">
        <v>64</v>
      </c>
    </row>
    <row r="35" spans="1:7" x14ac:dyDescent="0.25">
      <c r="A35" t="s">
        <v>104</v>
      </c>
      <c r="B35" t="s">
        <v>105</v>
      </c>
      <c r="C35" t="s">
        <v>106</v>
      </c>
      <c r="D35" t="s">
        <v>107</v>
      </c>
      <c r="E35" t="s">
        <v>108</v>
      </c>
      <c r="F35" t="s">
        <v>109</v>
      </c>
      <c r="G35" t="s">
        <v>44</v>
      </c>
    </row>
    <row r="36" spans="1:7" x14ac:dyDescent="0.25">
      <c r="A36" t="s">
        <v>110</v>
      </c>
      <c r="B36" t="s">
        <v>105</v>
      </c>
      <c r="C36" t="s">
        <v>106</v>
      </c>
      <c r="D36" t="s">
        <v>107</v>
      </c>
      <c r="E36" t="s">
        <v>111</v>
      </c>
      <c r="F36" t="s">
        <v>112</v>
      </c>
      <c r="G36" t="s">
        <v>44</v>
      </c>
    </row>
    <row r="37" spans="1:7" x14ac:dyDescent="0.25">
      <c r="A37" t="s">
        <v>113</v>
      </c>
      <c r="B37" t="s">
        <v>105</v>
      </c>
      <c r="C37" t="s">
        <v>114</v>
      </c>
      <c r="D37" t="s">
        <v>107</v>
      </c>
      <c r="E37" t="s">
        <v>115</v>
      </c>
      <c r="F37" t="s">
        <v>116</v>
      </c>
      <c r="G37" t="s">
        <v>44</v>
      </c>
    </row>
    <row r="38" spans="1:7" x14ac:dyDescent="0.25">
      <c r="A38" t="s">
        <v>117</v>
      </c>
      <c r="B38">
        <v>4096</v>
      </c>
      <c r="C38" t="s">
        <v>67</v>
      </c>
      <c r="D38">
        <v>0.02</v>
      </c>
      <c r="E38" t="s">
        <v>118</v>
      </c>
      <c r="F38" t="s">
        <v>119</v>
      </c>
      <c r="G38" t="s">
        <v>49</v>
      </c>
    </row>
    <row r="39" spans="1:7" x14ac:dyDescent="0.25">
      <c r="A39" t="s">
        <v>120</v>
      </c>
      <c r="B39" t="s">
        <v>43</v>
      </c>
      <c r="C39" t="s">
        <v>43</v>
      </c>
      <c r="D39" t="s">
        <v>43</v>
      </c>
      <c r="E39" t="s">
        <v>121</v>
      </c>
      <c r="F39" t="s">
        <v>122</v>
      </c>
      <c r="G39" t="s">
        <v>44</v>
      </c>
    </row>
    <row r="40" spans="1:7" x14ac:dyDescent="0.25">
      <c r="A40" t="s">
        <v>123</v>
      </c>
      <c r="B40" t="s">
        <v>43</v>
      </c>
      <c r="C40" t="s">
        <v>41</v>
      </c>
      <c r="D40" t="s">
        <v>43</v>
      </c>
      <c r="E40" t="s">
        <v>124</v>
      </c>
      <c r="F40" t="s">
        <v>125</v>
      </c>
      <c r="G40" t="s">
        <v>65</v>
      </c>
    </row>
    <row r="42" spans="1:7" x14ac:dyDescent="0.25">
      <c r="A42" s="2" t="s">
        <v>126</v>
      </c>
    </row>
    <row r="43" spans="1:7" x14ac:dyDescent="0.25">
      <c r="A43" t="s">
        <v>127</v>
      </c>
    </row>
    <row r="44" spans="1:7" x14ac:dyDescent="0.25">
      <c r="A44" t="s">
        <v>128</v>
      </c>
    </row>
    <row r="45" spans="1:7" x14ac:dyDescent="0.25">
      <c r="A45" t="s">
        <v>129</v>
      </c>
    </row>
    <row r="47" spans="1:7" x14ac:dyDescent="0.25">
      <c r="A47" s="9" t="s">
        <v>130</v>
      </c>
    </row>
    <row r="48" spans="1:7" x14ac:dyDescent="0.25">
      <c r="A48" s="10" t="s">
        <v>131</v>
      </c>
      <c r="B48" s="10" t="s">
        <v>132</v>
      </c>
      <c r="C48" s="10" t="s">
        <v>133</v>
      </c>
      <c r="D48" s="10" t="s">
        <v>99</v>
      </c>
      <c r="E48" s="10" t="s">
        <v>37</v>
      </c>
      <c r="F48" s="10" t="s">
        <v>38</v>
      </c>
      <c r="G48" s="10" t="s">
        <v>78</v>
      </c>
    </row>
    <row r="49" spans="1:7" x14ac:dyDescent="0.25">
      <c r="A49" t="s">
        <v>134</v>
      </c>
      <c r="B49" t="s">
        <v>135</v>
      </c>
      <c r="C49" t="s">
        <v>136</v>
      </c>
      <c r="D49" t="s">
        <v>43</v>
      </c>
      <c r="E49" t="s">
        <v>137</v>
      </c>
      <c r="F49" t="s">
        <v>138</v>
      </c>
      <c r="G49" t="s">
        <v>44</v>
      </c>
    </row>
    <row r="50" spans="1:7" x14ac:dyDescent="0.25">
      <c r="A50" t="s">
        <v>139</v>
      </c>
      <c r="B50" t="s">
        <v>140</v>
      </c>
      <c r="C50" t="s">
        <v>141</v>
      </c>
      <c r="D50" t="s">
        <v>142</v>
      </c>
      <c r="E50" t="s">
        <v>143</v>
      </c>
      <c r="F50" t="s">
        <v>144</v>
      </c>
      <c r="G50" t="s">
        <v>49</v>
      </c>
    </row>
    <row r="51" spans="1:7" x14ac:dyDescent="0.25">
      <c r="A51" t="s">
        <v>145</v>
      </c>
      <c r="B51" t="s">
        <v>146</v>
      </c>
      <c r="C51" t="s">
        <v>141</v>
      </c>
      <c r="D51" t="s">
        <v>142</v>
      </c>
      <c r="E51" t="s">
        <v>147</v>
      </c>
      <c r="F51" t="s">
        <v>148</v>
      </c>
      <c r="G51" t="s">
        <v>49</v>
      </c>
    </row>
    <row r="52" spans="1:7" x14ac:dyDescent="0.25">
      <c r="A52" t="s">
        <v>149</v>
      </c>
      <c r="B52" t="s">
        <v>150</v>
      </c>
      <c r="C52" t="s">
        <v>141</v>
      </c>
      <c r="D52">
        <v>3817</v>
      </c>
      <c r="E52" t="s">
        <v>151</v>
      </c>
      <c r="F52" t="s">
        <v>28</v>
      </c>
      <c r="G52" t="s">
        <v>65</v>
      </c>
    </row>
    <row r="53" spans="1:7" x14ac:dyDescent="0.25">
      <c r="A53" t="s">
        <v>152</v>
      </c>
      <c r="B53" t="s">
        <v>153</v>
      </c>
      <c r="C53" t="s">
        <v>154</v>
      </c>
      <c r="D53" t="s">
        <v>155</v>
      </c>
      <c r="E53" t="s">
        <v>156</v>
      </c>
      <c r="F53" t="s">
        <v>157</v>
      </c>
      <c r="G53" t="s">
        <v>49</v>
      </c>
    </row>
    <row r="55" spans="1:7" x14ac:dyDescent="0.25">
      <c r="A55" s="2" t="s">
        <v>158</v>
      </c>
    </row>
    <row r="56" spans="1:7" x14ac:dyDescent="0.25">
      <c r="A56" t="s">
        <v>159</v>
      </c>
      <c r="B56" t="s">
        <v>160</v>
      </c>
    </row>
    <row r="57" spans="1:7" x14ac:dyDescent="0.25">
      <c r="A57" t="s">
        <v>119</v>
      </c>
      <c r="B57" t="s">
        <v>161</v>
      </c>
    </row>
    <row r="58" spans="1:7" x14ac:dyDescent="0.25">
      <c r="A58" t="s">
        <v>162</v>
      </c>
      <c r="B58" t="s">
        <v>163</v>
      </c>
    </row>
    <row r="59" spans="1:7" x14ac:dyDescent="0.25">
      <c r="A59" t="s">
        <v>164</v>
      </c>
      <c r="B59" t="s">
        <v>165</v>
      </c>
    </row>
    <row r="61" spans="1:7" x14ac:dyDescent="0.25">
      <c r="A61" s="11" t="s">
        <v>166</v>
      </c>
    </row>
    <row r="62" spans="1:7" x14ac:dyDescent="0.25">
      <c r="A62" s="12" t="s">
        <v>7</v>
      </c>
      <c r="B62" s="12" t="s">
        <v>36</v>
      </c>
      <c r="C62" s="12" t="s">
        <v>37</v>
      </c>
      <c r="D62" s="12" t="s">
        <v>167</v>
      </c>
      <c r="E62" s="12" t="s">
        <v>38</v>
      </c>
      <c r="F62" s="12" t="s">
        <v>78</v>
      </c>
      <c r="G62" s="12" t="s">
        <v>10</v>
      </c>
    </row>
    <row r="63" spans="1:7" x14ac:dyDescent="0.25">
      <c r="A63" t="s">
        <v>168</v>
      </c>
      <c r="B63" t="s">
        <v>169</v>
      </c>
      <c r="C63" t="s">
        <v>170</v>
      </c>
      <c r="D63" t="s">
        <v>171</v>
      </c>
      <c r="E63" t="s">
        <v>43</v>
      </c>
      <c r="F63" t="s">
        <v>43</v>
      </c>
      <c r="G63" t="s">
        <v>44</v>
      </c>
    </row>
    <row r="64" spans="1:7" x14ac:dyDescent="0.25">
      <c r="A64" t="s">
        <v>172</v>
      </c>
      <c r="B64" t="s">
        <v>173</v>
      </c>
      <c r="C64" t="s">
        <v>174</v>
      </c>
      <c r="D64">
        <v>1.07</v>
      </c>
      <c r="E64" t="s">
        <v>175</v>
      </c>
      <c r="F64" t="s">
        <v>64</v>
      </c>
      <c r="G64" t="s">
        <v>16</v>
      </c>
    </row>
    <row r="65" spans="1:7" x14ac:dyDescent="0.25">
      <c r="A65" t="s">
        <v>176</v>
      </c>
      <c r="B65" t="s">
        <v>173</v>
      </c>
      <c r="C65" t="s">
        <v>177</v>
      </c>
      <c r="D65">
        <v>0.36299999999999999</v>
      </c>
      <c r="E65" t="s">
        <v>178</v>
      </c>
      <c r="F65" t="s">
        <v>179</v>
      </c>
      <c r="G65" t="s">
        <v>16</v>
      </c>
    </row>
    <row r="66" spans="1:7" x14ac:dyDescent="0.25">
      <c r="A66" t="s">
        <v>180</v>
      </c>
      <c r="B66" t="s">
        <v>181</v>
      </c>
      <c r="C66" t="s">
        <v>182</v>
      </c>
      <c r="D66" t="s">
        <v>183</v>
      </c>
      <c r="E66" t="s">
        <v>148</v>
      </c>
      <c r="F66" t="s">
        <v>49</v>
      </c>
      <c r="G66" t="s">
        <v>16</v>
      </c>
    </row>
    <row r="67" spans="1:7" x14ac:dyDescent="0.25">
      <c r="A67" t="s">
        <v>184</v>
      </c>
      <c r="B67" t="s">
        <v>181</v>
      </c>
      <c r="C67" t="s">
        <v>185</v>
      </c>
      <c r="D67" t="s">
        <v>186</v>
      </c>
      <c r="E67" t="s">
        <v>148</v>
      </c>
      <c r="F67" t="s">
        <v>49</v>
      </c>
      <c r="G67" t="s">
        <v>16</v>
      </c>
    </row>
    <row r="68" spans="1:7" x14ac:dyDescent="0.25">
      <c r="A68" t="s">
        <v>187</v>
      </c>
      <c r="B68" t="s">
        <v>181</v>
      </c>
      <c r="C68" t="s">
        <v>188</v>
      </c>
      <c r="D68" t="s">
        <v>189</v>
      </c>
      <c r="E68" t="s">
        <v>190</v>
      </c>
      <c r="F68" t="s">
        <v>64</v>
      </c>
      <c r="G68" t="s">
        <v>16</v>
      </c>
    </row>
    <row r="69" spans="1:7" x14ac:dyDescent="0.25">
      <c r="A69" t="s">
        <v>191</v>
      </c>
      <c r="B69" t="s">
        <v>192</v>
      </c>
      <c r="C69" t="s">
        <v>193</v>
      </c>
      <c r="D69" t="s">
        <v>43</v>
      </c>
      <c r="E69" t="s">
        <v>157</v>
      </c>
      <c r="F69" t="s">
        <v>49</v>
      </c>
      <c r="G69" t="s">
        <v>16</v>
      </c>
    </row>
    <row r="71" spans="1:7" x14ac:dyDescent="0.25">
      <c r="A71" s="2" t="s">
        <v>194</v>
      </c>
    </row>
    <row r="72" spans="1:7" x14ac:dyDescent="0.25">
      <c r="A72" t="s">
        <v>195</v>
      </c>
      <c r="B72">
        <v>100000</v>
      </c>
    </row>
    <row r="73" spans="1:7" x14ac:dyDescent="0.25">
      <c r="A73" t="s">
        <v>196</v>
      </c>
      <c r="B73" t="s">
        <v>197</v>
      </c>
    </row>
    <row r="74" spans="1:7" x14ac:dyDescent="0.25">
      <c r="A74" t="s">
        <v>198</v>
      </c>
      <c r="B74" t="s">
        <v>199</v>
      </c>
    </row>
    <row r="76" spans="1:7" x14ac:dyDescent="0.25">
      <c r="A76" s="13" t="s">
        <v>200</v>
      </c>
    </row>
    <row r="77" spans="1:7" x14ac:dyDescent="0.25">
      <c r="A77" s="14" t="s">
        <v>201</v>
      </c>
      <c r="B77" s="14" t="s">
        <v>202</v>
      </c>
      <c r="C77" s="14" t="s">
        <v>203</v>
      </c>
      <c r="D77" s="14" t="s">
        <v>204</v>
      </c>
      <c r="E77" s="14" t="s">
        <v>205</v>
      </c>
      <c r="F77" s="14" t="s">
        <v>206</v>
      </c>
    </row>
    <row r="78" spans="1:7" x14ac:dyDescent="0.25">
      <c r="A78" t="s">
        <v>207</v>
      </c>
      <c r="B78" t="s">
        <v>208</v>
      </c>
      <c r="C78">
        <v>7.2973530000000003E-3</v>
      </c>
      <c r="D78" t="s">
        <v>209</v>
      </c>
      <c r="E78" t="s">
        <v>210</v>
      </c>
      <c r="F78" t="s">
        <v>211</v>
      </c>
    </row>
    <row r="79" spans="1:7" x14ac:dyDescent="0.25">
      <c r="A79" t="s">
        <v>212</v>
      </c>
      <c r="B79" t="s">
        <v>213</v>
      </c>
      <c r="C79">
        <v>17</v>
      </c>
      <c r="D79" t="s">
        <v>214</v>
      </c>
      <c r="E79" t="s">
        <v>215</v>
      </c>
      <c r="F79" t="s">
        <v>216</v>
      </c>
    </row>
    <row r="80" spans="1:7" x14ac:dyDescent="0.25">
      <c r="A80" t="s">
        <v>217</v>
      </c>
      <c r="B80" t="s">
        <v>218</v>
      </c>
      <c r="C80">
        <f>C78/C79</f>
        <v>4.2925605882352942E-4</v>
      </c>
      <c r="D80" t="s">
        <v>219</v>
      </c>
      <c r="E80" t="s">
        <v>220</v>
      </c>
      <c r="F80" t="s">
        <v>221</v>
      </c>
    </row>
    <row r="81" spans="1:8" x14ac:dyDescent="0.25">
      <c r="A81" t="s">
        <v>222</v>
      </c>
      <c r="B81" t="s">
        <v>223</v>
      </c>
      <c r="C81">
        <f>(3-SQRT(3))/2</f>
        <v>0.6339745962155614</v>
      </c>
      <c r="D81" t="s">
        <v>224</v>
      </c>
      <c r="E81" t="s">
        <v>43</v>
      </c>
      <c r="F81" t="s">
        <v>216</v>
      </c>
    </row>
    <row r="82" spans="1:8" x14ac:dyDescent="0.25">
      <c r="A82" t="s">
        <v>225</v>
      </c>
      <c r="B82" t="s">
        <v>226</v>
      </c>
      <c r="C82">
        <f>C81-C80</f>
        <v>0.63354534015673791</v>
      </c>
      <c r="D82" t="s">
        <v>227</v>
      </c>
      <c r="E82" t="s">
        <v>157</v>
      </c>
      <c r="F82" t="s">
        <v>228</v>
      </c>
    </row>
    <row r="83" spans="1:8" x14ac:dyDescent="0.25">
      <c r="A83" t="s">
        <v>229</v>
      </c>
      <c r="B83" t="s">
        <v>230</v>
      </c>
      <c r="C83">
        <f>1-C82</f>
        <v>0.36645465984326209</v>
      </c>
      <c r="D83" t="s">
        <v>231</v>
      </c>
      <c r="E83" t="s">
        <v>43</v>
      </c>
      <c r="F83" t="s">
        <v>228</v>
      </c>
    </row>
    <row r="84" spans="1:8" x14ac:dyDescent="0.25">
      <c r="A84" t="s">
        <v>232</v>
      </c>
      <c r="B84" t="s">
        <v>233</v>
      </c>
      <c r="C84">
        <f>EXP(-2*PI()*C82*C83)</f>
        <v>0.23252913466565325</v>
      </c>
      <c r="D84" t="s">
        <v>234</v>
      </c>
      <c r="E84" t="s">
        <v>235</v>
      </c>
      <c r="F84" t="s">
        <v>221</v>
      </c>
    </row>
    <row r="85" spans="1:8" x14ac:dyDescent="0.25">
      <c r="A85" t="s">
        <v>236</v>
      </c>
      <c r="B85" t="s">
        <v>237</v>
      </c>
      <c r="C85">
        <f>1/17</f>
        <v>5.8823529411764705E-2</v>
      </c>
      <c r="D85" s="15">
        <v>46039</v>
      </c>
      <c r="E85" t="s">
        <v>238</v>
      </c>
      <c r="F85" t="s">
        <v>216</v>
      </c>
    </row>
    <row r="86" spans="1:8" x14ac:dyDescent="0.25">
      <c r="A86" t="s">
        <v>239</v>
      </c>
      <c r="B86" t="s">
        <v>240</v>
      </c>
      <c r="C86">
        <f>(1/17)^100</f>
        <v>9.0179508127261749E-124</v>
      </c>
      <c r="D86" t="s">
        <v>241</v>
      </c>
      <c r="E86" t="s">
        <v>242</v>
      </c>
      <c r="F86" t="s">
        <v>221</v>
      </c>
    </row>
    <row r="87" spans="1:8" x14ac:dyDescent="0.25">
      <c r="A87" t="s">
        <v>243</v>
      </c>
      <c r="B87" t="s">
        <v>244</v>
      </c>
      <c r="C87">
        <f>LOG10(C86)</f>
        <v>-123.04489213782739</v>
      </c>
      <c r="D87" t="s">
        <v>245</v>
      </c>
      <c r="E87" t="s">
        <v>157</v>
      </c>
      <c r="F87" t="s">
        <v>246</v>
      </c>
    </row>
    <row r="90" spans="1:8" x14ac:dyDescent="0.25">
      <c r="A90" s="16" t="s">
        <v>247</v>
      </c>
    </row>
    <row r="91" spans="1:8" x14ac:dyDescent="0.25">
      <c r="A91" s="17" t="s">
        <v>201</v>
      </c>
      <c r="B91" s="17" t="s">
        <v>248</v>
      </c>
      <c r="C91" s="17" t="s">
        <v>249</v>
      </c>
      <c r="D91" s="17" t="s">
        <v>250</v>
      </c>
      <c r="E91" s="17" t="s">
        <v>251</v>
      </c>
      <c r="F91" s="17" t="s">
        <v>252</v>
      </c>
      <c r="G91" s="17" t="s">
        <v>253</v>
      </c>
      <c r="H91" s="17" t="s">
        <v>10</v>
      </c>
    </row>
    <row r="92" spans="1:8" x14ac:dyDescent="0.25">
      <c r="A92" t="s">
        <v>15</v>
      </c>
      <c r="B92" t="s">
        <v>254</v>
      </c>
      <c r="C92" t="s">
        <v>255</v>
      </c>
      <c r="D92">
        <v>4.2900000000000002E-4</v>
      </c>
      <c r="E92" t="s">
        <v>256</v>
      </c>
      <c r="F92" t="s">
        <v>179</v>
      </c>
      <c r="G92" t="s">
        <v>257</v>
      </c>
      <c r="H92" t="s">
        <v>258</v>
      </c>
    </row>
    <row r="93" spans="1:8" x14ac:dyDescent="0.25">
      <c r="A93" t="s">
        <v>21</v>
      </c>
      <c r="B93" t="s">
        <v>259</v>
      </c>
      <c r="C93" t="s">
        <v>260</v>
      </c>
      <c r="D93">
        <v>0.23250000000000001</v>
      </c>
      <c r="E93" t="s">
        <v>261</v>
      </c>
      <c r="F93" t="s">
        <v>179</v>
      </c>
      <c r="G93">
        <v>2027</v>
      </c>
      <c r="H93" t="s">
        <v>258</v>
      </c>
    </row>
    <row r="94" spans="1:8" x14ac:dyDescent="0.25">
      <c r="A94" t="s">
        <v>56</v>
      </c>
      <c r="B94" t="s">
        <v>254</v>
      </c>
      <c r="C94" t="s">
        <v>262</v>
      </c>
      <c r="D94">
        <v>17</v>
      </c>
      <c r="E94" t="s">
        <v>263</v>
      </c>
      <c r="F94" t="s">
        <v>264</v>
      </c>
      <c r="G94" t="s">
        <v>265</v>
      </c>
      <c r="H94" t="s">
        <v>16</v>
      </c>
    </row>
    <row r="95" spans="1:8" x14ac:dyDescent="0.25">
      <c r="A95" t="s">
        <v>266</v>
      </c>
      <c r="B95" t="s">
        <v>267</v>
      </c>
      <c r="C95" t="s">
        <v>268</v>
      </c>
      <c r="D95" t="s">
        <v>269</v>
      </c>
      <c r="E95" t="s">
        <v>270</v>
      </c>
      <c r="F95" t="s">
        <v>179</v>
      </c>
      <c r="G95">
        <v>2028</v>
      </c>
      <c r="H95" t="s">
        <v>258</v>
      </c>
    </row>
    <row r="96" spans="1:8" x14ac:dyDescent="0.25">
      <c r="A96" t="s">
        <v>271</v>
      </c>
      <c r="B96" t="s">
        <v>272</v>
      </c>
      <c r="C96" t="s">
        <v>273</v>
      </c>
      <c r="D96" t="s">
        <v>274</v>
      </c>
      <c r="E96" t="s">
        <v>275</v>
      </c>
      <c r="F96" t="s">
        <v>264</v>
      </c>
      <c r="G96">
        <v>2027</v>
      </c>
      <c r="H96" t="s">
        <v>258</v>
      </c>
    </row>
    <row r="97" spans="1:8" x14ac:dyDescent="0.25">
      <c r="A97" t="s">
        <v>276</v>
      </c>
      <c r="B97" t="s">
        <v>277</v>
      </c>
      <c r="C97" t="s">
        <v>278</v>
      </c>
      <c r="D97">
        <v>0.63349999999999995</v>
      </c>
      <c r="E97" t="s">
        <v>279</v>
      </c>
      <c r="F97" t="s">
        <v>280</v>
      </c>
      <c r="G97" t="s">
        <v>265</v>
      </c>
      <c r="H97" t="s">
        <v>49</v>
      </c>
    </row>
    <row r="98" spans="1:8" x14ac:dyDescent="0.25">
      <c r="A98" t="s">
        <v>28</v>
      </c>
      <c r="B98" t="s">
        <v>281</v>
      </c>
      <c r="C98" t="s">
        <v>282</v>
      </c>
      <c r="D98" t="s">
        <v>283</v>
      </c>
      <c r="E98" t="s">
        <v>43</v>
      </c>
      <c r="F98" t="s">
        <v>280</v>
      </c>
      <c r="G98" t="s">
        <v>265</v>
      </c>
      <c r="H98" t="s">
        <v>16</v>
      </c>
    </row>
    <row r="101" spans="1:8" x14ac:dyDescent="0.25">
      <c r="A101" s="18" t="s">
        <v>284</v>
      </c>
    </row>
    <row r="103" spans="1:8" x14ac:dyDescent="0.25">
      <c r="A103" s="2" t="s">
        <v>285</v>
      </c>
    </row>
    <row r="104" spans="1:8" x14ac:dyDescent="0.25">
      <c r="A104" t="s">
        <v>286</v>
      </c>
    </row>
    <row r="105" spans="1:8" x14ac:dyDescent="0.25">
      <c r="A105" t="s">
        <v>287</v>
      </c>
    </row>
    <row r="106" spans="1:8" x14ac:dyDescent="0.25">
      <c r="A106" t="s">
        <v>288</v>
      </c>
    </row>
    <row r="107" spans="1:8" x14ac:dyDescent="0.25">
      <c r="A107" t="s">
        <v>289</v>
      </c>
    </row>
    <row r="108" spans="1:8" x14ac:dyDescent="0.25">
      <c r="A108" t="s">
        <v>290</v>
      </c>
    </row>
    <row r="110" spans="1:8" x14ac:dyDescent="0.25">
      <c r="A110" s="2" t="s">
        <v>291</v>
      </c>
    </row>
    <row r="111" spans="1:8" x14ac:dyDescent="0.25">
      <c r="A111" t="s">
        <v>292</v>
      </c>
    </row>
    <row r="112" spans="1:8" x14ac:dyDescent="0.25">
      <c r="A112" t="s">
        <v>293</v>
      </c>
    </row>
    <row r="113" spans="1:1" x14ac:dyDescent="0.25">
      <c r="A113" t="s">
        <v>294</v>
      </c>
    </row>
    <row r="115" spans="1:1" x14ac:dyDescent="0.25">
      <c r="A115" s="2" t="s">
        <v>295</v>
      </c>
    </row>
    <row r="116" spans="1:1" x14ac:dyDescent="0.25">
      <c r="A116" t="s">
        <v>296</v>
      </c>
    </row>
    <row r="117" spans="1:1" x14ac:dyDescent="0.25">
      <c r="A117" t="s">
        <v>297</v>
      </c>
    </row>
    <row r="118" spans="1:1" x14ac:dyDescent="0.25">
      <c r="A118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UST-Deneysel-Veri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2026-04-23T11:00:31Z</dcterms:created>
  <dcterms:modified xsi:type="dcterms:W3CDTF">2026-04-23T11:00:32Z</dcterms:modified>
</cp:coreProperties>
</file>