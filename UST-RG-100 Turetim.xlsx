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F99C14E2-5367-40AD-8E84-7E484ED6F2E9}" xr6:coauthVersionLast="47" xr6:coauthVersionMax="47" xr10:uidLastSave="{00000000-0000-0000-0000-000000000000}"/>
  <bookViews>
    <workbookView xWindow="-120" yWindow="-120" windowWidth="29040" windowHeight="15720" xr2:uid="{12125158-4621-4372-BE7F-59B761443289}"/>
  </bookViews>
  <sheets>
    <sheet name="UST-RG-100 Turet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C11" i="1" s="1"/>
  <c r="C8" i="1"/>
  <c r="C9" i="1" s="1"/>
</calcChain>
</file>

<file path=xl/sharedStrings.xml><?xml version="1.0" encoding="utf-8"?>
<sst xmlns="http://schemas.openxmlformats.org/spreadsheetml/2006/main" count="24" uniqueCount="23">
  <si>
    <t>UST v5: 100 ITERASYON RG AKISI ILE TURETIM</t>
  </si>
  <si>
    <t>Wilsonian RG + Kadanoff Block + UST 17-Boyut | 23 Nisan 2026</t>
  </si>
  <si>
    <t>BOLUM 1: TEMEL PARAMETRELER</t>
  </si>
  <si>
    <t>Parametre</t>
  </si>
  <si>
    <t>Sembol</t>
  </si>
  <si>
    <t>Deger</t>
  </si>
  <si>
    <t>Formul</t>
  </si>
  <si>
    <t>Planck Enerji</t>
  </si>
  <si>
    <t>E_P</t>
  </si>
  <si>
    <t>GeV</t>
  </si>
  <si>
    <t>Gozlenen DE Enerji</t>
  </si>
  <si>
    <t>E_obs</t>
  </si>
  <si>
    <t>Enerji Orani</t>
  </si>
  <si>
    <t>E_P/E_obs</t>
  </si>
  <si>
    <t>buyukluk</t>
  </si>
  <si>
    <t>Log10(E_P/E_obs)</t>
  </si>
  <si>
    <t>n_E</t>
  </si>
  <si>
    <t>enerji mertebe</t>
  </si>
  <si>
    <t>rho ~ E^4</t>
  </si>
  <si>
    <t>rho_P/rho_obs</t>
  </si>
  <si>
    <t>yogunluk orani</t>
  </si>
  <si>
    <t>Log10(rho orani)</t>
  </si>
  <si>
    <t>N_Lambda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</si>
</sst>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  <font>
      <sz val="11"/>
      <color rgb="FFFFFFFF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48F2-DEF1-48F0-80D7-A21C3E27AE14}">
  <sheetPr codeName="Sayfa21"/>
  <dimension ref="A1:D11"/>
  <sheetViews>
    <sheetView tabSelected="1" workbookViewId="0">
      <selection sqref="A1:L1"/>
    </sheetView>
  </sheetViews>
  <sheetFormatPr defaultRowHeight="15" x14ac:dyDescent="0.25"/>
  <sheetData>
    <row r="1" spans="1:4" ht="18.75" x14ac:dyDescent="0.3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</row>
    <row r="5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t="s">
        <v>7</v>
      </c>
      <c r="B6" t="s">
        <v>8</v>
      </c>
      <c r="C6">
        <v>1.22E+19</v>
      </c>
      <c r="D6" t="s">
        <v>9</v>
      </c>
    </row>
    <row r="7" spans="1:4" x14ac:dyDescent="0.25">
      <c r="A7" t="s">
        <v>10</v>
      </c>
      <c r="B7" t="s">
        <v>11</v>
      </c>
      <c r="C7">
        <v>2.2999999999999999E-12</v>
      </c>
      <c r="D7" t="s">
        <v>9</v>
      </c>
    </row>
    <row r="8" spans="1:4" x14ac:dyDescent="0.25">
      <c r="A8" t="s">
        <v>12</v>
      </c>
      <c r="B8" t="s">
        <v>13</v>
      </c>
      <c r="C8">
        <f>C6/C7</f>
        <v>5.3043478260869568E+30</v>
      </c>
      <c r="D8" t="s">
        <v>14</v>
      </c>
    </row>
    <row r="9" spans="1:4" x14ac:dyDescent="0.25">
      <c r="A9" t="s">
        <v>15</v>
      </c>
      <c r="B9" t="s">
        <v>16</v>
      </c>
      <c r="C9">
        <f>LOG10(C8)</f>
        <v>30.724631994657155</v>
      </c>
      <c r="D9" t="s">
        <v>17</v>
      </c>
    </row>
    <row r="10" spans="1:4" x14ac:dyDescent="0.25">
      <c r="A10" t="s">
        <v>18</v>
      </c>
      <c r="B10" t="s">
        <v>19</v>
      </c>
      <c r="C10">
        <f>POWER(C8,4)</f>
        <v>7.9164045297150911E+122</v>
      </c>
      <c r="D10" t="s">
        <v>20</v>
      </c>
    </row>
    <row r="11" spans="1:4" x14ac:dyDescent="0.25">
      <c r="A11" t="s">
        <v>21</v>
      </c>
      <c r="B11" t="s">
        <v>22</v>
      </c>
      <c r="C11">
        <f>LOG10(C10)</f>
        <v>122.89852797862862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UST-RG-100 Turetim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2026-04-23T11:00:29Z</dcterms:created>
  <dcterms:modified xsi:type="dcterms:W3CDTF">2026-04-23T11:00:29Z</dcterms:modified>
</cp:coreProperties>
</file>