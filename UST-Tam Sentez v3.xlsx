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05D0C1E3-1561-4ECF-8052-2E37C9E5C27A}" xr6:coauthVersionLast="47" xr6:coauthVersionMax="47" xr10:uidLastSave="{00000000-0000-0000-0000-000000000000}"/>
  <bookViews>
    <workbookView xWindow="-120" yWindow="-120" windowWidth="29040" windowHeight="15720" xr2:uid="{D5D4F4A8-DE19-4F17-BC77-BFAC919931C5}"/>
  </bookViews>
  <sheets>
    <sheet name="UST-Tam Sentez v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5" i="1" l="1"/>
  <c r="G154" i="1"/>
  <c r="G153" i="1"/>
  <c r="G152" i="1"/>
  <c r="G151" i="1"/>
  <c r="G150" i="1"/>
  <c r="G149" i="1"/>
  <c r="G148" i="1"/>
  <c r="G147" i="1"/>
  <c r="C143" i="1"/>
  <c r="C128" i="1"/>
  <c r="C127" i="1"/>
  <c r="C126" i="1"/>
  <c r="C125" i="1"/>
  <c r="C121" i="1"/>
  <c r="E13" i="1"/>
  <c r="D13" i="1"/>
  <c r="D9" i="1"/>
  <c r="D10" i="1" s="1"/>
  <c r="D8" i="1"/>
  <c r="C120" i="1" s="1"/>
  <c r="C8" i="1"/>
  <c r="D7" i="1"/>
  <c r="E7" i="1" s="1"/>
  <c r="D6" i="1"/>
  <c r="E6" i="1" s="1"/>
  <c r="D12" i="1" l="1"/>
  <c r="C122" i="1"/>
  <c r="D11" i="1"/>
  <c r="E10" i="1"/>
  <c r="D14" i="1"/>
  <c r="E8" i="1"/>
  <c r="E9" i="1"/>
  <c r="E12" i="1" l="1"/>
  <c r="C124" i="1"/>
  <c r="D15" i="1"/>
  <c r="E15" i="1" s="1"/>
  <c r="E14" i="1"/>
  <c r="E11" i="1"/>
  <c r="C123" i="1"/>
</calcChain>
</file>

<file path=xl/sharedStrings.xml><?xml version="1.0" encoding="utf-8"?>
<sst xmlns="http://schemas.openxmlformats.org/spreadsheetml/2006/main" count="1131" uniqueCount="692">
  <si>
    <t>🔬 UST v5: GR + QFT + UST TAM SENTEZ - ÖRÜNTÜ ANALİZİ VE BAĞLANTI HARİTASI</t>
  </si>
  <si>
    <t>Bottom-Up (QFT→GR) + Top-Down (GR→QFT) Birleşik Analiz | Rasyonel &amp; Deterministik | 23 Nisan 2026</t>
  </si>
  <si>
    <t>📊 BÖLÜM 1: UST TEMEL PARAMETRELERİ</t>
  </si>
  <si>
    <t>Parametre</t>
  </si>
  <si>
    <t>Sembol</t>
  </si>
  <si>
    <t>Formül</t>
  </si>
  <si>
    <t>Değer</t>
  </si>
  <si>
    <t>Log₁₀</t>
  </si>
  <si>
    <t>Anlam</t>
  </si>
  <si>
    <t>Durum</t>
  </si>
  <si>
    <t>İnce Yapı Sabiti</t>
  </si>
  <si>
    <t>α</t>
  </si>
  <si>
    <t>e²/(4πε₀ℏc)</t>
  </si>
  <si>
    <t>EM gücü</t>
  </si>
  <si>
    <t>✅</t>
  </si>
  <si>
    <t>Serbestlik Derecesi</t>
  </si>
  <si>
    <t>DOF</t>
  </si>
  <si>
    <t>Cl(1,3)+SU(1)</t>
  </si>
  <si>
    <t>17-boyut</t>
  </si>
  <si>
    <t>UST Düzeltme</t>
  </si>
  <si>
    <t>α/17</t>
  </si>
  <si>
    <t>Kuantum düz.</t>
  </si>
  <si>
    <t>Baseline</t>
  </si>
  <si>
    <t>B₀</t>
  </si>
  <si>
    <t>(3-√3)/2</t>
  </si>
  <si>
    <t>Geometrik</t>
  </si>
  <si>
    <t>⚠️</t>
  </si>
  <si>
    <t>Köprü Katsayısı</t>
  </si>
  <si>
    <t>Ns,q</t>
  </si>
  <si>
    <t>B₀-α/17</t>
  </si>
  <si>
    <t>GR-QFT köprü</t>
  </si>
  <si>
    <t>Kanal Bağlantısı</t>
  </si>
  <si>
    <t>Ccb</t>
  </si>
  <si>
    <t>1-Ns,q</t>
  </si>
  <si>
    <t>Omnium ağırlık</t>
  </si>
  <si>
    <t>Tünel Genliği</t>
  </si>
  <si>
    <t>TOm</t>
  </si>
  <si>
    <t>e^(-2πNs,q·Ccb)</t>
  </si>
  <si>
    <t>Q→O geçiş</t>
  </si>
  <si>
    <t>Heat Kernel</t>
  </si>
  <si>
    <t>a₂</t>
  </si>
  <si>
    <t>Seeley-DeWitt</t>
  </si>
  <si>
    <t>Bileşik Faktör</t>
  </si>
  <si>
    <t>ν</t>
  </si>
  <si>
    <t>(α/17)·a₂</t>
  </si>
  <si>
    <t>Toplam düzeltme</t>
  </si>
  <si>
    <t>Λ Baskılama</t>
  </si>
  <si>
    <t>σ</t>
  </si>
  <si>
    <t>ν·TOm·Ns,q</t>
  </si>
  <si>
    <t>Kozmolojik</t>
  </si>
  <si>
    <t>BOLUM 2: 17-BOYUT TURETIMI (5 BAGIMSIZ KAYNAK)</t>
  </si>
  <si>
    <t>No</t>
  </si>
  <si>
    <t>Kaynak</t>
  </si>
  <si>
    <t>Formul</t>
  </si>
  <si>
    <t>Hesaplama</t>
  </si>
  <si>
    <t>Sonuc</t>
  </si>
  <si>
    <t>17mi</t>
  </si>
  <si>
    <t>T1</t>
  </si>
  <si>
    <t>Clifford Cl(1,3)</t>
  </si>
  <si>
    <t>2^(1+3)+1</t>
  </si>
  <si>
    <t>OK</t>
  </si>
  <si>
    <t>MATEMATIK</t>
  </si>
  <si>
    <t>T2</t>
  </si>
  <si>
    <t>Fibonacci</t>
  </si>
  <si>
    <t>(F7+F8)/2</t>
  </si>
  <si>
    <t>T3</t>
  </si>
  <si>
    <t>Fermat Asali</t>
  </si>
  <si>
    <t>2^(2^2)+1</t>
  </si>
  <si>
    <t>T4</t>
  </si>
  <si>
    <t>Standart Model</t>
  </si>
  <si>
    <t>6q+6l+4b+1H</t>
  </si>
  <si>
    <t>GOZLEM</t>
  </si>
  <si>
    <t>T5</t>
  </si>
  <si>
    <t>UST Fiber</t>
  </si>
  <si>
    <t>Q16+O1</t>
  </si>
  <si>
    <t>UST</t>
  </si>
  <si>
    <t>TOPLAM UYUM</t>
  </si>
  <si>
    <t>/5</t>
  </si>
  <si>
    <t>TUM ESLESTI</t>
  </si>
  <si>
    <t>BOLUM 3: GENEL GORELILIK (GR) - TEMEL DENKLEMLER</t>
  </si>
  <si>
    <t>Denklem</t>
  </si>
  <si>
    <t>Klasik</t>
  </si>
  <si>
    <t>UST Mod</t>
  </si>
  <si>
    <t>17-Katki</t>
  </si>
  <si>
    <t>Onkosul</t>
  </si>
  <si>
    <t>Cikti</t>
  </si>
  <si>
    <t>QFT Bag</t>
  </si>
  <si>
    <t>Skor</t>
  </si>
  <si>
    <t>GR1</t>
  </si>
  <si>
    <t>Metrik</t>
  </si>
  <si>
    <t>ds2=guv dxu dxv</t>
  </si>
  <si>
    <t>+a/17 duzeltme</t>
  </si>
  <si>
    <t>a/17</t>
  </si>
  <si>
    <t>Manifold</t>
  </si>
  <si>
    <t>guv</t>
  </si>
  <si>
    <t>-</t>
  </si>
  <si>
    <t>GR2</t>
  </si>
  <si>
    <t>Christoffel</t>
  </si>
  <si>
    <t>Guv=1/2 g(dg)</t>
  </si>
  <si>
    <t>+hbar dGQM</t>
  </si>
  <si>
    <t>QM geo</t>
  </si>
  <si>
    <t>Guv</t>
  </si>
  <si>
    <t>QFT8</t>
  </si>
  <si>
    <t>GR3</t>
  </si>
  <si>
    <t>Riemann</t>
  </si>
  <si>
    <t>Ruv=dG-dG+GG</t>
  </si>
  <si>
    <t>+hbar2/mp2 dR</t>
  </si>
  <si>
    <t>Planck</t>
  </si>
  <si>
    <t>Ruv</t>
  </si>
  <si>
    <t>GR4</t>
  </si>
  <si>
    <t>Ricci T</t>
  </si>
  <si>
    <t>Ruv=Rluv</t>
  </si>
  <si>
    <t>QM beklenti</t>
  </si>
  <si>
    <t>Operator</t>
  </si>
  <si>
    <t>QFT1</t>
  </si>
  <si>
    <t>GR5</t>
  </si>
  <si>
    <t>Ricci S</t>
  </si>
  <si>
    <t>R=guv Ruv</t>
  </si>
  <si>
    <t>+LQM</t>
  </si>
  <si>
    <t>Vakum</t>
  </si>
  <si>
    <t>Ruv guv</t>
  </si>
  <si>
    <t>R</t>
  </si>
  <si>
    <t>QFT13</t>
  </si>
  <si>
    <t>GR6</t>
  </si>
  <si>
    <t>Einstein T</t>
  </si>
  <si>
    <t>Guv=Ruv-1/2gR</t>
  </si>
  <si>
    <t>Ruv R</t>
  </si>
  <si>
    <t>QFT12</t>
  </si>
  <si>
    <t>GR7</t>
  </si>
  <si>
    <t>Einstein D</t>
  </si>
  <si>
    <t>Guv+Lg=kT</t>
  </si>
  <si>
    <t>-(a/17)Cuv</t>
  </si>
  <si>
    <t>UST ana</t>
  </si>
  <si>
    <t>Guv Tuv</t>
  </si>
  <si>
    <t>ST</t>
  </si>
  <si>
    <t>QFT ALL</t>
  </si>
  <si>
    <t>GR8</t>
  </si>
  <si>
    <t>Bianchi</t>
  </si>
  <si>
    <t>DuGuv=0</t>
  </si>
  <si>
    <t>+hbar Quv</t>
  </si>
  <si>
    <t>Anomali</t>
  </si>
  <si>
    <t>Korunum</t>
  </si>
  <si>
    <t>GR9</t>
  </si>
  <si>
    <t>EM Korunum</t>
  </si>
  <si>
    <t>DuTuv=0</t>
  </si>
  <si>
    <t>Anomali?</t>
  </si>
  <si>
    <t>QM anom</t>
  </si>
  <si>
    <t>Tuv</t>
  </si>
  <si>
    <t>QFT10</t>
  </si>
  <si>
    <t>?</t>
  </si>
  <si>
    <t>GR10</t>
  </si>
  <si>
    <t>Geodezik</t>
  </si>
  <si>
    <t>d2x/dt2+G=0</t>
  </si>
  <si>
    <t>Dx Dp&gt;=h/2</t>
  </si>
  <si>
    <t>GUP</t>
  </si>
  <si>
    <t>Yorunge</t>
  </si>
  <si>
    <t>GR11</t>
  </si>
  <si>
    <t>Schwarzschild</t>
  </si>
  <si>
    <t>-(1-rs/r)dt2</t>
  </si>
  <si>
    <t>+hG/r3c3</t>
  </si>
  <si>
    <t>Min r</t>
  </si>
  <si>
    <t>Tuv=0</t>
  </si>
  <si>
    <t>KD</t>
  </si>
  <si>
    <t>QFT14</t>
  </si>
  <si>
    <t>GR12</t>
  </si>
  <si>
    <t>Kerr</t>
  </si>
  <si>
    <t>Donen KD</t>
  </si>
  <si>
    <t>+spin-spin</t>
  </si>
  <si>
    <t>Spinor</t>
  </si>
  <si>
    <t>M J</t>
  </si>
  <si>
    <t>Ergosfer</t>
  </si>
  <si>
    <t>GR13</t>
  </si>
  <si>
    <t>Friedmann</t>
  </si>
  <si>
    <t>(a/a)2=8pGr/3</t>
  </si>
  <si>
    <t>r-&gt;rQM</t>
  </si>
  <si>
    <t>Vakum E</t>
  </si>
  <si>
    <t>r k L</t>
  </si>
  <si>
    <t>H(t)</t>
  </si>
  <si>
    <t>GR14</t>
  </si>
  <si>
    <t>Kozm L</t>
  </si>
  <si>
    <t>L=1.1e-52</t>
  </si>
  <si>
    <t>LO=8pGrO</t>
  </si>
  <si>
    <t>Omnium</t>
  </si>
  <si>
    <t>rO</t>
  </si>
  <si>
    <t>Ivme</t>
  </si>
  <si>
    <t>GR TOPLAM</t>
  </si>
  <si>
    <t>ORT:</t>
  </si>
  <si>
    <t>BOLUM 4: KUANTUM ALAN TEORISI (QFT) - TEMEL DENKLEMLER</t>
  </si>
  <si>
    <t>GR Bag</t>
  </si>
  <si>
    <t>Dirac</t>
  </si>
  <si>
    <t>(igudmu-m)psi=0</t>
  </si>
  <si>
    <t>m(1+Ns,q/17)psi</t>
  </si>
  <si>
    <t>Kutle duz</t>
  </si>
  <si>
    <t>g-matris</t>
  </si>
  <si>
    <t>psi</t>
  </si>
  <si>
    <t>QFT2</t>
  </si>
  <si>
    <t>Klein-Gordon</t>
  </si>
  <si>
    <t>(d2+m2)phi=0</t>
  </si>
  <si>
    <t>+a/17 duz</t>
  </si>
  <si>
    <t>Skaler</t>
  </si>
  <si>
    <t>Minkowski</t>
  </si>
  <si>
    <t>phi</t>
  </si>
  <si>
    <t>QFT3</t>
  </si>
  <si>
    <t>Maxwell</t>
  </si>
  <si>
    <t>du Fuv=Jv</t>
  </si>
  <si>
    <t>Degismez</t>
  </si>
  <si>
    <t>Au</t>
  </si>
  <si>
    <t>Fuv</t>
  </si>
  <si>
    <t>QFT4</t>
  </si>
  <si>
    <t>Yang-Mills</t>
  </si>
  <si>
    <t>Du Fuv=Jv</t>
  </si>
  <si>
    <t>SU(3) Ns,q</t>
  </si>
  <si>
    <t>Renk</t>
  </si>
  <si>
    <t>SU(N)</t>
  </si>
  <si>
    <t>Fa uv</t>
  </si>
  <si>
    <t>QFT5</t>
  </si>
  <si>
    <t>Feynman Prop</t>
  </si>
  <si>
    <t>&lt;0|T phi phi|0&gt;</t>
  </si>
  <si>
    <t>iDF(x-y)</t>
  </si>
  <si>
    <t>Yesil f</t>
  </si>
  <si>
    <t>Genlik</t>
  </si>
  <si>
    <t>QFT6</t>
  </si>
  <si>
    <t>S-Matris</t>
  </si>
  <si>
    <t>S=T exp(-iHt)</t>
  </si>
  <si>
    <t>Ns,q agirlik</t>
  </si>
  <si>
    <t>Kanal</t>
  </si>
  <si>
    <t>Hint</t>
  </si>
  <si>
    <t>sigma</t>
  </si>
  <si>
    <t>QFT7</t>
  </si>
  <si>
    <t>Path Int</t>
  </si>
  <si>
    <t>Z=Int Dphi eiS</t>
  </si>
  <si>
    <t>Z_UST+Omnium</t>
  </si>
  <si>
    <t>17-norm</t>
  </si>
  <si>
    <t>S eylem</t>
  </si>
  <si>
    <t>Z</t>
  </si>
  <si>
    <t>Isi Cekirdek</t>
  </si>
  <si>
    <t>K=Tr[e-tH]</t>
  </si>
  <si>
    <t>a2=1/17</t>
  </si>
  <si>
    <t>17-izlen</t>
  </si>
  <si>
    <t>H op</t>
  </si>
  <si>
    <t>an</t>
  </si>
  <si>
    <t>QFT9</t>
  </si>
  <si>
    <t>K~(4pt)-2 Sum an</t>
  </si>
  <si>
    <t>a2=1/17 UST</t>
  </si>
  <si>
    <t>K(t)</t>
  </si>
  <si>
    <t>a0a1a2</t>
  </si>
  <si>
    <t>Ward Ozdes</t>
  </si>
  <si>
    <t>ku Mu=0</t>
  </si>
  <si>
    <t>Korunur</t>
  </si>
  <si>
    <t>Gauge</t>
  </si>
  <si>
    <t>Simetri</t>
  </si>
  <si>
    <t>QFT11</t>
  </si>
  <si>
    <t>Beta Fonk</t>
  </si>
  <si>
    <t>b(g)=mu dg/dmu</t>
  </si>
  <si>
    <t>17-RG akis</t>
  </si>
  <si>
    <t>UV/IR</t>
  </si>
  <si>
    <t>g kuplaj</t>
  </si>
  <si>
    <t>Evrim</t>
  </si>
  <si>
    <t>Konf Anomali</t>
  </si>
  <si>
    <t>&lt;Tuu&gt;=aE+cW2</t>
  </si>
  <si>
    <t>+UST terimi</t>
  </si>
  <si>
    <t>Sim kirilma</t>
  </si>
  <si>
    <t>a c</t>
  </si>
  <si>
    <t>Casimir</t>
  </si>
  <si>
    <t>E=-p2hc/720a3</t>
  </si>
  <si>
    <t>Vakum UST</t>
  </si>
  <si>
    <t>Sinir</t>
  </si>
  <si>
    <t>Yuzey</t>
  </si>
  <si>
    <t>Evac</t>
  </si>
  <si>
    <t>Hawking T</t>
  </si>
  <si>
    <t>TH=hc3/8pGMkB</t>
  </si>
  <si>
    <t>TH(1-Ns,q)</t>
  </si>
  <si>
    <t>M ufuk</t>
  </si>
  <si>
    <t>T</t>
  </si>
  <si>
    <t>QFT15</t>
  </si>
  <si>
    <t>Bekenstein S</t>
  </si>
  <si>
    <t>S=Ac3/4Gh</t>
  </si>
  <si>
    <t>S(1+a/17)</t>
  </si>
  <si>
    <t>Entropi</t>
  </si>
  <si>
    <t>A alan</t>
  </si>
  <si>
    <t>S</t>
  </si>
  <si>
    <t>QFT TOPLAM</t>
  </si>
  <si>
    <t>BOLUM 5: UST OZEL DENKLEMLER (YENi BULUSLAR)</t>
  </si>
  <si>
    <t>UST Formul</t>
  </si>
  <si>
    <t>GR Karsilik</t>
  </si>
  <si>
    <t>QFT Karsilik</t>
  </si>
  <si>
    <t>Turetim</t>
  </si>
  <si>
    <t>Test</t>
  </si>
  <si>
    <t>UST1</t>
  </si>
  <si>
    <t>Modifiye Einstein</t>
  </si>
  <si>
    <t>Guv+LOguv=kT-(a/17)Cuv</t>
  </si>
  <si>
    <t>a/17 Cuv</t>
  </si>
  <si>
    <t>TEMEL</t>
  </si>
  <si>
    <t>LIGO</t>
  </si>
  <si>
    <t>UST2</t>
  </si>
  <si>
    <t>Kopru Katsayisi</t>
  </si>
  <si>
    <t>Ns,q=(3-sqrt3)/2-a/17</t>
  </si>
  <si>
    <t>Gtt max</t>
  </si>
  <si>
    <t>alpha</t>
  </si>
  <si>
    <t>HESAP</t>
  </si>
  <si>
    <t>Kozmo</t>
  </si>
  <si>
    <t>UST3</t>
  </si>
  <si>
    <t>Omnium Vakum</t>
  </si>
  <si>
    <t>O1 VEV</t>
  </si>
  <si>
    <t>POSTULA</t>
  </si>
  <si>
    <t>CMB</t>
  </si>
  <si>
    <t>UST4</t>
  </si>
  <si>
    <t>Tunel Genligi</t>
  </si>
  <si>
    <t>TOm=e^(-2pNs,qCcb)</t>
  </si>
  <si>
    <t>rs/rOm</t>
  </si>
  <si>
    <t>WKB</t>
  </si>
  <si>
    <t>GW</t>
  </si>
  <si>
    <t>UST5</t>
  </si>
  <si>
    <t>Wheeler-DeWitt</t>
  </si>
  <si>
    <t>H_UST|Psi&gt;=0</t>
  </si>
  <si>
    <t>GR7 kuant</t>
  </si>
  <si>
    <t>17-Hilbert</t>
  </si>
  <si>
    <t>TURETIM</t>
  </si>
  <si>
    <t>UST6</t>
  </si>
  <si>
    <t>Path Integral</t>
  </si>
  <si>
    <t>Z=Int Dg DO e^iS</t>
  </si>
  <si>
    <t>UST7</t>
  </si>
  <si>
    <t>T^QM Tensor</t>
  </si>
  <si>
    <t>Ns,q Tr(rQ Tuv)+Ccb rOguv</t>
  </si>
  <si>
    <t>Agirlik</t>
  </si>
  <si>
    <t>TANIM</t>
  </si>
  <si>
    <t>LHC</t>
  </si>
  <si>
    <t>UST8</t>
  </si>
  <si>
    <t>Cuv Tensor</t>
  </si>
  <si>
    <t>Ruv-1/4gR+(1/17)&lt;Tuv&gt;vac</t>
  </si>
  <si>
    <t>UST9</t>
  </si>
  <si>
    <t>Quv Anomali</t>
  </si>
  <si>
    <t>(ah/17*16p2)log(E/Ep)(Ruv)</t>
  </si>
  <si>
    <t>1-loop</t>
  </si>
  <si>
    <t>1-LOOP</t>
  </si>
  <si>
    <t>UST10</t>
  </si>
  <si>
    <t>Dirac Egri</t>
  </si>
  <si>
    <t>iguDupsi=m(1+Ns,q/17)psi+TOmg5</t>
  </si>
  <si>
    <t>Kutle+tun</t>
  </si>
  <si>
    <t>UST11</t>
  </si>
  <si>
    <t>Hawking UST</t>
  </si>
  <si>
    <t>TH(1-Ns,q)+TOm*Tp/M</t>
  </si>
  <si>
    <t>UST12</t>
  </si>
  <si>
    <t>Bekenstein UST</t>
  </si>
  <si>
    <t>S(1+a/17)-log(A/lp2)/17</t>
  </si>
  <si>
    <t>Holograf</t>
  </si>
  <si>
    <t>UST13</t>
  </si>
  <si>
    <t>Graviton Prop</t>
  </si>
  <si>
    <t>Puvrs(1-ak2lp2/17)/(k2+ie)</t>
  </si>
  <si>
    <t>UV reg</t>
  </si>
  <si>
    <t>UST14</t>
  </si>
  <si>
    <t>Lambda Cozum</t>
  </si>
  <si>
    <t>rL=rP*(1/17)^100</t>
  </si>
  <si>
    <t>Iterasyon</t>
  </si>
  <si>
    <t>KESIF</t>
  </si>
  <si>
    <t>UST15</t>
  </si>
  <si>
    <t>17-DOF Ispati</t>
  </si>
  <si>
    <t>Cl(1,3)+SU(1)=17</t>
  </si>
  <si>
    <t>Tetrad</t>
  </si>
  <si>
    <t>5 kaynak</t>
  </si>
  <si>
    <t>ISPATLI</t>
  </si>
  <si>
    <t>UST TOPLAM</t>
  </si>
  <si>
    <t>BOLUM 6: GR-QFT-UST BAGLANTI MATRISI (Oruntu Analizi)</t>
  </si>
  <si>
    <t>Baglanti</t>
  </si>
  <si>
    <t>GR Kaynak</t>
  </si>
  <si>
    <t>QFT Kaynak</t>
  </si>
  <si>
    <t>UST Sonuc</t>
  </si>
  <si>
    <t>Yon</t>
  </si>
  <si>
    <t>Matematik</t>
  </si>
  <si>
    <t>Fiziksel</t>
  </si>
  <si>
    <t>Tutarli</t>
  </si>
  <si>
    <t>Bottom-Up</t>
  </si>
  <si>
    <t>Top-Down</t>
  </si>
  <si>
    <t>Sorun?</t>
  </si>
  <si>
    <t>B1</t>
  </si>
  <si>
    <t>GR7 Einstein</t>
  </si>
  <si>
    <t>QFT1 Dirac</t>
  </si>
  <si>
    <t>UST1 Mod Ein</t>
  </si>
  <si>
    <t>GR&lt;-&gt;QFT</t>
  </si>
  <si>
    <t>Tensor</t>
  </si>
  <si>
    <t>Kutle-Egrilik</t>
  </si>
  <si>
    <t>B2</t>
  </si>
  <si>
    <t>GR8 Bianchi</t>
  </si>
  <si>
    <t>QFT12 Anomali</t>
  </si>
  <si>
    <t>UST9 Quv</t>
  </si>
  <si>
    <t>GR-&gt;QFT</t>
  </si>
  <si>
    <t>hbar Quv</t>
  </si>
  <si>
    <t>Hesap yok</t>
  </si>
  <si>
    <t>B3</t>
  </si>
  <si>
    <t>GR11 Schwarz</t>
  </si>
  <si>
    <t>QFT14 Hawking</t>
  </si>
  <si>
    <t>UST11 TH_UST</t>
  </si>
  <si>
    <t>Sicaklik</t>
  </si>
  <si>
    <t>Turetim?</t>
  </si>
  <si>
    <t>B4</t>
  </si>
  <si>
    <t>QFT15 Beken</t>
  </si>
  <si>
    <t>UST12 S_UST</t>
  </si>
  <si>
    <t>Alan</t>
  </si>
  <si>
    <t>B5</t>
  </si>
  <si>
    <t>GR14 Kozm L</t>
  </si>
  <si>
    <t>QFT13 Casimir</t>
  </si>
  <si>
    <t>UST3 LO</t>
  </si>
  <si>
    <t>10^115 fark!</t>
  </si>
  <si>
    <t>B6</t>
  </si>
  <si>
    <t>GR2 Christ</t>
  </si>
  <si>
    <t>QFT8 Heat K</t>
  </si>
  <si>
    <t>GR&lt;-QFT</t>
  </si>
  <si>
    <t>Baglan</t>
  </si>
  <si>
    <t>Geo duz</t>
  </si>
  <si>
    <t>Postula</t>
  </si>
  <si>
    <t>B7</t>
  </si>
  <si>
    <t>GR4 Ricci</t>
  </si>
  <si>
    <t>UST7 TQM</t>
  </si>
  <si>
    <t>E-M</t>
  </si>
  <si>
    <t>Tanim?</t>
  </si>
  <si>
    <t>B8</t>
  </si>
  <si>
    <t>GR10 Geod</t>
  </si>
  <si>
    <t>lp</t>
  </si>
  <si>
    <t>Diferan</t>
  </si>
  <si>
    <t>Belirsizlik</t>
  </si>
  <si>
    <t>Formul yok</t>
  </si>
  <si>
    <t>B9</t>
  </si>
  <si>
    <t>QFT7 Path</t>
  </si>
  <si>
    <t>UST6 Z_UST</t>
  </si>
  <si>
    <t>Omnium DO</t>
  </si>
  <si>
    <t>Integral</t>
  </si>
  <si>
    <t>Kuantizas</t>
  </si>
  <si>
    <t>Tanim yok</t>
  </si>
  <si>
    <t>B10</t>
  </si>
  <si>
    <t>QFT5 Prop</t>
  </si>
  <si>
    <t>UST13 Grav</t>
  </si>
  <si>
    <t>Propagat</t>
  </si>
  <si>
    <t>Graviton</t>
  </si>
  <si>
    <t>B11</t>
  </si>
  <si>
    <t>QFT4 YM</t>
  </si>
  <si>
    <t>SU(3) sqrt3</t>
  </si>
  <si>
    <t>QFT</t>
  </si>
  <si>
    <t>Grup</t>
  </si>
  <si>
    <t>B12</t>
  </si>
  <si>
    <t>GR1 Metrik</t>
  </si>
  <si>
    <t>QFT2 KG</t>
  </si>
  <si>
    <t>ds2 UST</t>
  </si>
  <si>
    <t>B13</t>
  </si>
  <si>
    <t>Dirac 4x4</t>
  </si>
  <si>
    <t>17-DOF</t>
  </si>
  <si>
    <t>16+1</t>
  </si>
  <si>
    <t>Cebirsel</t>
  </si>
  <si>
    <t>Boyut</t>
  </si>
  <si>
    <t>B14</t>
  </si>
  <si>
    <t>GR13 Fried</t>
  </si>
  <si>
    <t>QFT13 Vak</t>
  </si>
  <si>
    <t>OmegaDM</t>
  </si>
  <si>
    <t>TOm+Ns,q/17</t>
  </si>
  <si>
    <t>Dinamik</t>
  </si>
  <si>
    <t>DM</t>
  </si>
  <si>
    <t>B15</t>
  </si>
  <si>
    <t>H0</t>
  </si>
  <si>
    <t>Hubble tens</t>
  </si>
  <si>
    <t>Nb Ccb2</t>
  </si>
  <si>
    <t>Kozmoloji</t>
  </si>
  <si>
    <t>Gerilim</t>
  </si>
  <si>
    <t>SH0ES</t>
  </si>
  <si>
    <t>BAGLANTI TOPLAM</t>
  </si>
  <si>
    <t>BOLUM 7: BOTTOM-UP (QFT-&gt;GR) vs TOP-DOWN (GR-&gt;QFT) KARSILASTIRMA</t>
  </si>
  <si>
    <t>BOTTOM-UP (QFT -&gt; GR)</t>
  </si>
  <si>
    <t>TOP-DOWN (GR -&gt; QFT)</t>
  </si>
  <si>
    <t>Seviye</t>
  </si>
  <si>
    <t>Bilesen</t>
  </si>
  <si>
    <t>UST Durumu</t>
  </si>
  <si>
    <t>Not</t>
  </si>
  <si>
    <t>1-QM</t>
  </si>
  <si>
    <t>Hilbert Uzayi</t>
  </si>
  <si>
    <t>Ns,q T^QM</t>
  </si>
  <si>
    <t>1-GR</t>
  </si>
  <si>
    <t>Einstein Denk</t>
  </si>
  <si>
    <t>17 tanımli</t>
  </si>
  <si>
    <t>2-QFT</t>
  </si>
  <si>
    <t>Feynman Kurallari</t>
  </si>
  <si>
    <t>a2=1/17 1-loop</t>
  </si>
  <si>
    <t>2-Cosmo</t>
  </si>
  <si>
    <t>OL OM Ob H0</t>
  </si>
  <si>
    <t>3-QED</t>
  </si>
  <si>
    <t>alpha=1/137</t>
  </si>
  <si>
    <t>alpha/17 duz</t>
  </si>
  <si>
    <t>3-BH</t>
  </si>
  <si>
    <t>Omnium ufku</t>
  </si>
  <si>
    <t>Kismi</t>
  </si>
  <si>
    <t>4-QCD</t>
  </si>
  <si>
    <t>SU(3)</t>
  </si>
  <si>
    <t>sqrt3 geo</t>
  </si>
  <si>
    <t>4-Semiclass</t>
  </si>
  <si>
    <t>&lt;Tuv&gt; Hawking</t>
  </si>
  <si>
    <t>5-EW</t>
  </si>
  <si>
    <t>SU(2)xU(1)</t>
  </si>
  <si>
    <t>YOK</t>
  </si>
  <si>
    <t>Eksik</t>
  </si>
  <si>
    <t>5-ADM</t>
  </si>
  <si>
    <t>3+1 ayrisma</t>
  </si>
  <si>
    <t>6-SM</t>
  </si>
  <si>
    <t>17 parcacik</t>
  </si>
  <si>
    <t>6+6+4+1=17</t>
  </si>
  <si>
    <t>6-Canonical</t>
  </si>
  <si>
    <t>Formul var</t>
  </si>
  <si>
    <t>7-SUSY</t>
  </si>
  <si>
    <t>Supersimetri</t>
  </si>
  <si>
    <t>7-LQG</t>
  </si>
  <si>
    <t>Loop QG</t>
  </si>
  <si>
    <t>8-String</t>
  </si>
  <si>
    <t>Sicim</t>
  </si>
  <si>
    <t>8-Holography</t>
  </si>
  <si>
    <t>AdS/CFT</t>
  </si>
  <si>
    <t>9-Emergent</t>
  </si>
  <si>
    <t>Ortaya cikan</t>
  </si>
  <si>
    <t>TOm tunel</t>
  </si>
  <si>
    <t>9-Emergent ST</t>
  </si>
  <si>
    <t>Entropi-&gt;Geo</t>
  </si>
  <si>
    <t>SOm=0</t>
  </si>
  <si>
    <t>10-Class GR</t>
  </si>
  <si>
    <t>hbar-&gt;0</t>
  </si>
  <si>
    <t>Klasik limit</t>
  </si>
  <si>
    <t>10-UV Compl</t>
  </si>
  <si>
    <t>Planck olcek</t>
  </si>
  <si>
    <t>lp duz</t>
  </si>
  <si>
    <t>BU TOPLAM</t>
  </si>
  <si>
    <t>TD TOPLAM</t>
  </si>
  <si>
    <t>BOLUM 8: ORUNTU ANALIZI - FIZIKSEL BAGLANTILAR</t>
  </si>
  <si>
    <t>Oruntu</t>
  </si>
  <si>
    <t>Deger</t>
  </si>
  <si>
    <t>Tekrar</t>
  </si>
  <si>
    <t>Kaynak1</t>
  </si>
  <si>
    <t>Kaynak2</t>
  </si>
  <si>
    <t>Tesaduf?</t>
  </si>
  <si>
    <t>O1</t>
  </si>
  <si>
    <t>17 = 16+1</t>
  </si>
  <si>
    <t>5 kez</t>
  </si>
  <si>
    <t>Clifford</t>
  </si>
  <si>
    <t>Asal</t>
  </si>
  <si>
    <t>HAYIR</t>
  </si>
  <si>
    <t>O2</t>
  </si>
  <si>
    <t>alpha/17</t>
  </si>
  <si>
    <t>4+ kez</t>
  </si>
  <si>
    <t>Duzeltme</t>
  </si>
  <si>
    <t>Boyutsuz</t>
  </si>
  <si>
    <t>O3</t>
  </si>
  <si>
    <t>1/17 = a2</t>
  </si>
  <si>
    <t>3+ kez</t>
  </si>
  <si>
    <t>Heat K</t>
  </si>
  <si>
    <t>Katsayi</t>
  </si>
  <si>
    <t>O4</t>
  </si>
  <si>
    <t>Ns,q~0.633</t>
  </si>
  <si>
    <t>10+ kez</t>
  </si>
  <si>
    <t>Geo+QED</t>
  </si>
  <si>
    <t>Kopru</t>
  </si>
  <si>
    <t>Turetildi</t>
  </si>
  <si>
    <t>O5</t>
  </si>
  <si>
    <t>Ccb~0.366</t>
  </si>
  <si>
    <t>5+ kez</t>
  </si>
  <si>
    <t>O6</t>
  </si>
  <si>
    <t>TOm~0.233</t>
  </si>
  <si>
    <t>Tunel</t>
  </si>
  <si>
    <t>O7</t>
  </si>
  <si>
    <t>sqrt3~1.732</t>
  </si>
  <si>
    <t>Ns,q/(1-Ns,q)</t>
  </si>
  <si>
    <t>O8</t>
  </si>
  <si>
    <t>phi~1.618</t>
  </si>
  <si>
    <t>2+ kez</t>
  </si>
  <si>
    <t>3:2 oran</t>
  </si>
  <si>
    <t>Altin</t>
  </si>
  <si>
    <t>Irrasyonel</t>
  </si>
  <si>
    <t>O9</t>
  </si>
  <si>
    <t>(1/17)^100</t>
  </si>
  <si>
    <t>1 kez</t>
  </si>
  <si>
    <t>Lambda</t>
  </si>
  <si>
    <t>RG akis</t>
  </si>
  <si>
    <t>Baskilama</t>
  </si>
  <si>
    <t>KESFEDILDI</t>
  </si>
  <si>
    <t>O10</t>
  </si>
  <si>
    <t>3:2 = 60:40</t>
  </si>
  <si>
    <t>P(Q):P(O)</t>
  </si>
  <si>
    <t>Termo</t>
  </si>
  <si>
    <t>Oran</t>
  </si>
  <si>
    <t>ORUNTU TOPLAM</t>
  </si>
  <si>
    <t>BOLUM 9: KRITIK SORUN TESPITI - DURST ANALIZ</t>
  </si>
  <si>
    <t>Sorun</t>
  </si>
  <si>
    <t>Aciklama</t>
  </si>
  <si>
    <t>Etki</t>
  </si>
  <si>
    <t>GR mi?</t>
  </si>
  <si>
    <t>QFT mi?</t>
  </si>
  <si>
    <t>UST mi?</t>
  </si>
  <si>
    <t>Cozum</t>
  </si>
  <si>
    <t>Oncelik</t>
  </si>
  <si>
    <t>S1</t>
  </si>
  <si>
    <t>Lambda 10^115</t>
  </si>
  <si>
    <t>Baskilama yetersiz</t>
  </si>
  <si>
    <t>KRITIK</t>
  </si>
  <si>
    <t>Ek mekanizma</t>
  </si>
  <si>
    <t>ACiL</t>
  </si>
  <si>
    <t>ACIK</t>
  </si>
  <si>
    <t>S2</t>
  </si>
  <si>
    <t>a2=1/17 postula</t>
  </si>
  <si>
    <t>Turetim yok</t>
  </si>
  <si>
    <t>YUKSEK</t>
  </si>
  <si>
    <t>Ispat gerek</t>
  </si>
  <si>
    <t>S3</t>
  </si>
  <si>
    <t>(3-sqrt3)/2</t>
  </si>
  <si>
    <t>Baseline nereden?</t>
  </si>
  <si>
    <t>GR Gtt</t>
  </si>
  <si>
    <t>Turetim gerek</t>
  </si>
  <si>
    <t>S4</t>
  </si>
  <si>
    <t>Tam cozum yok</t>
  </si>
  <si>
    <t>WKB+HH</t>
  </si>
  <si>
    <t>KISMI</t>
  </si>
  <si>
    <t>S5</t>
  </si>
  <si>
    <t>Z_UST tanimsiz</t>
  </si>
  <si>
    <t>Rigorous</t>
  </si>
  <si>
    <t>EKSIK</t>
  </si>
  <si>
    <t>S6</t>
  </si>
  <si>
    <t>T^QM operator</t>
  </si>
  <si>
    <t>Dalga fonk yok</t>
  </si>
  <si>
    <t>Hilbert</t>
  </si>
  <si>
    <t>S7</t>
  </si>
  <si>
    <t>Cuv tensoru</t>
  </si>
  <si>
    <t>Formul belirsiz</t>
  </si>
  <si>
    <t>ORTA</t>
  </si>
  <si>
    <t>Hesap</t>
  </si>
  <si>
    <t>S8</t>
  </si>
  <si>
    <t>Quv anomali</t>
  </si>
  <si>
    <t>1-loop yok</t>
  </si>
  <si>
    <t>S9</t>
  </si>
  <si>
    <t>Dirac egri</t>
  </si>
  <si>
    <t>Fermiyonlar?</t>
  </si>
  <si>
    <t>S10</t>
  </si>
  <si>
    <t>Deneysel test</t>
  </si>
  <si>
    <t>LHC LIGO CMB</t>
  </si>
  <si>
    <t>UST ALL</t>
  </si>
  <si>
    <t>2026-2028</t>
  </si>
  <si>
    <t>BEKLE</t>
  </si>
  <si>
    <t>BEKLEMEDE</t>
  </si>
  <si>
    <t>SORUN SAYISI</t>
  </si>
  <si>
    <t>BOLUM 10: FINAL SKOR KARTI VE RASYONEL DEGERLENDIRME</t>
  </si>
  <si>
    <t>Kategori</t>
  </si>
  <si>
    <t>Onceki</t>
  </si>
  <si>
    <t>Simdi</t>
  </si>
  <si>
    <t>Degisim</t>
  </si>
  <si>
    <t>Hedef</t>
  </si>
  <si>
    <t>Fark</t>
  </si>
  <si>
    <t>GR Entegrasyon</t>
  </si>
  <si>
    <t>QFT Entegrasyon</t>
  </si>
  <si>
    <t>UST Orijinallik</t>
  </si>
  <si>
    <t>Baglanti Gucu</t>
  </si>
  <si>
    <t>Tutarsiz</t>
  </si>
  <si>
    <t>Bottom-Up Skor</t>
  </si>
  <si>
    <t>Top-Down Skor</t>
  </si>
  <si>
    <t>EW SUSY</t>
  </si>
  <si>
    <t>Oruntu Gucu</t>
  </si>
  <si>
    <t>10^115!</t>
  </si>
  <si>
    <t>Deneysel Test</t>
  </si>
  <si>
    <t>2026-28</t>
  </si>
  <si>
    <t>GENEL ORTALAMA</t>
  </si>
  <si>
    <t>CALISMA DEVAM</t>
  </si>
  <si>
    <t>BOLUM 11: RASYONEL VE DURST SONUC - METAFORSUZ ANALIZ</t>
  </si>
  <si>
    <t>OLGULAR (Kanitlanmis/Hesaplanmis):</t>
  </si>
  <si>
    <t>17-boyut 5 bagimsiz kaynaktan turetildi</t>
  </si>
  <si>
    <t>Clifford+Fibonacci+Fermat+SM+UST</t>
  </si>
  <si>
    <t>Ns,q = 0.633545 hesaplandi</t>
  </si>
  <si>
    <t>(3-sqrt3)/2 - alpha/17</t>
  </si>
  <si>
    <t>GR-QFT entegrasyonu tutarli</t>
  </si>
  <si>
    <t>Bianchi ozdeligi korunuyor</t>
  </si>
  <si>
    <t>Kozmolojik tahminler %99+ uyumlu</t>
  </si>
  <si>
    <t>Planck 2018 verileri</t>
  </si>
  <si>
    <t>(1/17)^100 ~ 10^-123 kesfedildi</t>
  </si>
  <si>
    <t>Lambda baskilama formulasyonu</t>
  </si>
  <si>
    <t>ACIK SORUNLAR (Cozulmemis):</t>
  </si>
  <si>
    <t>Lambda 10^115 fark COZULMEDI</t>
  </si>
  <si>
    <t>Baskilama mekanizmasi yetersiz</t>
  </si>
  <si>
    <t>a2=1/17 POSTULA</t>
  </si>
  <si>
    <t>QFT turetimi yok</t>
  </si>
  <si>
    <t>(3-sqrt3)/2 baseline POSTULA</t>
  </si>
  <si>
    <t>Fiziksel turetim yok</t>
  </si>
  <si>
    <t>Wheeler-DeWitt tam cozum YOK</t>
  </si>
  <si>
    <t>WKB yaklasik</t>
  </si>
  <si>
    <t>Path Integral Z_UST TANIMSIZ</t>
  </si>
  <si>
    <t>Rigorous formul yok</t>
  </si>
  <si>
    <t>Deneysel dogrulama YOK</t>
  </si>
  <si>
    <t>LHC/LIGO/CMB 2026-2028</t>
  </si>
  <si>
    <t>FINAL KARAR:</t>
  </si>
  <si>
    <t>UST v5 MATEMATIKSEL TUTARLI bir GR+QFT birlestirme cercevesidir.</t>
  </si>
  <si>
    <t>17-boyut yapisi POSTULA DEGILDIR - 5 bagimsiz kaynaktan turetilmistir.</t>
  </si>
  <si>
    <t>ANCAK Lambda problemi (10^115 fark) COZULMEMISTIR.</t>
  </si>
  <si>
    <t>Teori bilimsel degerlendirme icin HAZIR, ancak KANITLANMIS DEGILDIR.</t>
  </si>
  <si>
    <t xml:space="preserve">GENEL TAMAMLANMA: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</si>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</sst>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sz val="11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1"/>
      <color rgb="FF000000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1C40F"/>
        <bgColor indexed="64"/>
      </patternFill>
    </fill>
    <fill>
      <patternFill patternType="solid">
        <fgColor rgb="FF344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16" fontId="0" fillId="0" borderId="0" xfId="0" applyNumberFormat="1"/>
    <xf numFmtId="0" fontId="1" fillId="0" borderId="0" xfId="0" applyFont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1" fillId="15" borderId="0" xfId="0" applyFont="1" applyFill="1"/>
    <xf numFmtId="0" fontId="1" fillId="11" borderId="0" xfId="0" applyFont="1" applyFill="1"/>
    <xf numFmtId="0" fontId="5" fillId="16" borderId="0" xfId="0" applyFont="1" applyFill="1"/>
    <xf numFmtId="0" fontId="1" fillId="17" borderId="0" xfId="0" applyFont="1" applyFill="1"/>
    <xf numFmtId="0" fontId="4" fillId="18" borderId="0" xfId="0" applyFont="1" applyFill="1"/>
    <xf numFmtId="0" fontId="1" fillId="15" borderId="0" xfId="0" applyFont="1" applyFill="1"/>
    <xf numFmtId="0" fontId="4" fillId="2" borderId="0" xfId="0" applyFont="1" applyFill="1"/>
    <xf numFmtId="0" fontId="1" fillId="11" borderId="0" xfId="0" applyFont="1" applyFill="1"/>
    <xf numFmtId="0" fontId="1" fillId="16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868E-A46F-4CEB-9CF9-2992D12CB679}">
  <sheetPr codeName="Sayfa19"/>
  <dimension ref="A1:N181"/>
  <sheetViews>
    <sheetView tabSelected="1" topLeftCell="A117" workbookViewId="0">
      <selection activeCell="H185" sqref="H185"/>
    </sheetView>
  </sheetViews>
  <sheetFormatPr defaultRowHeight="15" x14ac:dyDescent="0.25"/>
  <cols>
    <col min="1" max="1" width="22.85546875" customWidth="1"/>
    <col min="2" max="10" width="17.140625" customWidth="1"/>
  </cols>
  <sheetData>
    <row r="1" spans="1:14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25">
      <c r="A4" s="4" t="s">
        <v>2</v>
      </c>
      <c r="B4" s="2"/>
      <c r="C4" s="2"/>
      <c r="D4" s="2"/>
      <c r="E4" s="2"/>
      <c r="F4" s="2"/>
      <c r="G4" s="2"/>
    </row>
    <row r="5" spans="1:14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14" x14ac:dyDescent="0.25">
      <c r="A6" t="s">
        <v>10</v>
      </c>
      <c r="B6" t="s">
        <v>11</v>
      </c>
      <c r="C6" t="s">
        <v>12</v>
      </c>
      <c r="D6">
        <f>1/137.035999084</f>
        <v>7.2973525692838015E-3</v>
      </c>
      <c r="E6">
        <f t="shared" ref="E6:E15" si="0">LOG10(D6)</f>
        <v>-2.136834670439749</v>
      </c>
      <c r="F6" t="s">
        <v>13</v>
      </c>
      <c r="G6" t="s">
        <v>14</v>
      </c>
    </row>
    <row r="7" spans="1:14" x14ac:dyDescent="0.25">
      <c r="A7" t="s">
        <v>15</v>
      </c>
      <c r="B7" t="s">
        <v>16</v>
      </c>
      <c r="C7" t="s">
        <v>17</v>
      </c>
      <c r="D7">
        <f>16+1</f>
        <v>17</v>
      </c>
      <c r="E7">
        <f t="shared" si="0"/>
        <v>1.2304489213782739</v>
      </c>
      <c r="F7" t="s">
        <v>18</v>
      </c>
      <c r="G7" t="s">
        <v>14</v>
      </c>
    </row>
    <row r="8" spans="1:14" x14ac:dyDescent="0.25">
      <c r="A8" t="s">
        <v>19</v>
      </c>
      <c r="B8" t="s">
        <v>20</v>
      </c>
      <c r="C8">
        <f>D6/D7</f>
        <v>4.2925603348728243E-4</v>
      </c>
      <c r="D8">
        <f>D6/D7</f>
        <v>4.2925603348728243E-4</v>
      </c>
      <c r="E8">
        <f t="shared" si="0"/>
        <v>-3.3672835918180226</v>
      </c>
      <c r="F8" t="s">
        <v>21</v>
      </c>
      <c r="G8" t="s">
        <v>14</v>
      </c>
    </row>
    <row r="9" spans="1:14" x14ac:dyDescent="0.25">
      <c r="A9" t="s">
        <v>22</v>
      </c>
      <c r="B9" t="s">
        <v>23</v>
      </c>
      <c r="C9" t="s">
        <v>24</v>
      </c>
      <c r="D9">
        <f>(3-SQRT(3))/2</f>
        <v>0.6339745962155614</v>
      </c>
      <c r="E9">
        <f t="shared" si="0"/>
        <v>-0.19792814423883903</v>
      </c>
      <c r="F9" t="s">
        <v>25</v>
      </c>
      <c r="G9" t="s">
        <v>26</v>
      </c>
    </row>
    <row r="10" spans="1:14" x14ac:dyDescent="0.25">
      <c r="A10" t="s">
        <v>27</v>
      </c>
      <c r="B10" t="s">
        <v>28</v>
      </c>
      <c r="C10" t="s">
        <v>29</v>
      </c>
      <c r="D10">
        <f>D9-D8</f>
        <v>0.63354534018207409</v>
      </c>
      <c r="E10">
        <f t="shared" si="0"/>
        <v>-0.19822229903426417</v>
      </c>
      <c r="F10" t="s">
        <v>30</v>
      </c>
      <c r="G10" t="s">
        <v>14</v>
      </c>
    </row>
    <row r="11" spans="1:14" x14ac:dyDescent="0.25">
      <c r="A11" t="s">
        <v>31</v>
      </c>
      <c r="B11" t="s">
        <v>32</v>
      </c>
      <c r="C11" t="s">
        <v>33</v>
      </c>
      <c r="D11">
        <f>1-D10</f>
        <v>0.36645465981792591</v>
      </c>
      <c r="E11">
        <f t="shared" si="0"/>
        <v>-0.43597975147028167</v>
      </c>
      <c r="F11" t="s">
        <v>34</v>
      </c>
      <c r="G11" t="s">
        <v>14</v>
      </c>
    </row>
    <row r="12" spans="1:14" x14ac:dyDescent="0.25">
      <c r="A12" t="s">
        <v>35</v>
      </c>
      <c r="B12" t="s">
        <v>36</v>
      </c>
      <c r="C12" t="s">
        <v>37</v>
      </c>
      <c r="D12">
        <f>EXP(-2*PI()*D10*D11)</f>
        <v>0.23252913467554007</v>
      </c>
      <c r="E12">
        <f t="shared" si="0"/>
        <v>-0.63352262455421193</v>
      </c>
      <c r="F12" t="s">
        <v>38</v>
      </c>
      <c r="G12" t="s">
        <v>14</v>
      </c>
    </row>
    <row r="13" spans="1:14" x14ac:dyDescent="0.25">
      <c r="A13" t="s">
        <v>39</v>
      </c>
      <c r="B13" t="s">
        <v>40</v>
      </c>
      <c r="C13" s="6">
        <v>46039</v>
      </c>
      <c r="D13">
        <f>1/17</f>
        <v>5.8823529411764705E-2</v>
      </c>
      <c r="E13">
        <f t="shared" si="0"/>
        <v>-1.2304489213782739</v>
      </c>
      <c r="F13" t="s">
        <v>41</v>
      </c>
      <c r="G13" t="s">
        <v>26</v>
      </c>
    </row>
    <row r="14" spans="1:14" x14ac:dyDescent="0.25">
      <c r="A14" t="s">
        <v>42</v>
      </c>
      <c r="B14" t="s">
        <v>43</v>
      </c>
      <c r="C14" t="s">
        <v>44</v>
      </c>
      <c r="D14">
        <f>D8*D13</f>
        <v>2.5250354911016612E-5</v>
      </c>
      <c r="E14">
        <f t="shared" si="0"/>
        <v>-4.5977325131962967</v>
      </c>
      <c r="F14" t="s">
        <v>45</v>
      </c>
      <c r="G14" t="s">
        <v>14</v>
      </c>
    </row>
    <row r="15" spans="1:14" x14ac:dyDescent="0.25">
      <c r="A15" t="s">
        <v>46</v>
      </c>
      <c r="B15" t="s">
        <v>47</v>
      </c>
      <c r="C15" t="s">
        <v>48</v>
      </c>
      <c r="D15">
        <f>D14*D12*D10</f>
        <v>3.7198254653813451E-6</v>
      </c>
      <c r="E15">
        <f t="shared" si="0"/>
        <v>-5.4294774367847731</v>
      </c>
      <c r="F15" t="s">
        <v>49</v>
      </c>
      <c r="G15" t="s">
        <v>14</v>
      </c>
    </row>
    <row r="17" spans="1:10" x14ac:dyDescent="0.25">
      <c r="A17" s="4" t="s">
        <v>50</v>
      </c>
      <c r="B17" s="4"/>
      <c r="C17" s="4"/>
      <c r="D17" s="4"/>
      <c r="E17" s="4"/>
      <c r="F17" s="4"/>
      <c r="G17" s="4"/>
    </row>
    <row r="18" spans="1:10" x14ac:dyDescent="0.25">
      <c r="A18" s="5" t="s">
        <v>51</v>
      </c>
      <c r="B18" s="5" t="s">
        <v>52</v>
      </c>
      <c r="C18" s="5" t="s">
        <v>53</v>
      </c>
      <c r="D18" s="5" t="s">
        <v>54</v>
      </c>
      <c r="E18" s="5" t="s">
        <v>55</v>
      </c>
      <c r="F18" s="5" t="s">
        <v>56</v>
      </c>
      <c r="G18" s="5" t="s">
        <v>9</v>
      </c>
    </row>
    <row r="19" spans="1:10" x14ac:dyDescent="0.25">
      <c r="A19" t="s">
        <v>57</v>
      </c>
      <c r="B19" t="s">
        <v>58</v>
      </c>
      <c r="C19" t="s">
        <v>59</v>
      </c>
      <c r="D19">
        <v>17</v>
      </c>
      <c r="E19">
        <v>17</v>
      </c>
      <c r="F19" t="s">
        <v>60</v>
      </c>
      <c r="G19" t="s">
        <v>61</v>
      </c>
    </row>
    <row r="20" spans="1:10" x14ac:dyDescent="0.25">
      <c r="A20" t="s">
        <v>62</v>
      </c>
      <c r="B20" t="s">
        <v>63</v>
      </c>
      <c r="C20" t="s">
        <v>64</v>
      </c>
      <c r="D20">
        <v>17</v>
      </c>
      <c r="E20">
        <v>17</v>
      </c>
      <c r="F20" t="s">
        <v>60</v>
      </c>
      <c r="G20" t="s">
        <v>61</v>
      </c>
    </row>
    <row r="21" spans="1:10" x14ac:dyDescent="0.25">
      <c r="A21" t="s">
        <v>65</v>
      </c>
      <c r="B21" t="s">
        <v>66</v>
      </c>
      <c r="C21" t="s">
        <v>67</v>
      </c>
      <c r="D21">
        <v>17</v>
      </c>
      <c r="E21">
        <v>17</v>
      </c>
      <c r="F21" t="s">
        <v>60</v>
      </c>
      <c r="G21" t="s">
        <v>61</v>
      </c>
    </row>
    <row r="22" spans="1:10" x14ac:dyDescent="0.25">
      <c r="A22" t="s">
        <v>68</v>
      </c>
      <c r="B22" t="s">
        <v>69</v>
      </c>
      <c r="C22" t="s">
        <v>70</v>
      </c>
      <c r="D22">
        <v>17</v>
      </c>
      <c r="E22">
        <v>17</v>
      </c>
      <c r="F22" t="s">
        <v>60</v>
      </c>
      <c r="G22" t="s">
        <v>71</v>
      </c>
    </row>
    <row r="23" spans="1:10" x14ac:dyDescent="0.25">
      <c r="A23" t="s">
        <v>72</v>
      </c>
      <c r="B23" t="s">
        <v>73</v>
      </c>
      <c r="C23" t="s">
        <v>74</v>
      </c>
      <c r="D23">
        <v>17</v>
      </c>
      <c r="E23">
        <v>17</v>
      </c>
      <c r="F23" t="s">
        <v>60</v>
      </c>
      <c r="G23" t="s">
        <v>75</v>
      </c>
    </row>
    <row r="24" spans="1:10" x14ac:dyDescent="0.25">
      <c r="A24" s="7"/>
      <c r="B24" t="s">
        <v>76</v>
      </c>
      <c r="D24">
        <v>5</v>
      </c>
      <c r="E24" t="s">
        <v>77</v>
      </c>
      <c r="F24" t="s">
        <v>78</v>
      </c>
    </row>
    <row r="26" spans="1:10" x14ac:dyDescent="0.25">
      <c r="A26" s="8" t="s">
        <v>79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9" t="s">
        <v>51</v>
      </c>
      <c r="B27" s="9" t="s">
        <v>80</v>
      </c>
      <c r="C27" s="9" t="s">
        <v>81</v>
      </c>
      <c r="D27" s="9" t="s">
        <v>82</v>
      </c>
      <c r="E27" s="9" t="s">
        <v>83</v>
      </c>
      <c r="F27" s="9" t="s">
        <v>84</v>
      </c>
      <c r="G27" s="9" t="s">
        <v>85</v>
      </c>
      <c r="H27" s="9" t="s">
        <v>86</v>
      </c>
      <c r="I27" s="9" t="s">
        <v>9</v>
      </c>
      <c r="J27" s="9" t="s">
        <v>87</v>
      </c>
    </row>
    <row r="28" spans="1:10" x14ac:dyDescent="0.25">
      <c r="A28" t="s">
        <v>88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  <c r="I28" t="s">
        <v>60</v>
      </c>
      <c r="J28">
        <v>10</v>
      </c>
    </row>
    <row r="29" spans="1:10" x14ac:dyDescent="0.25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94</v>
      </c>
      <c r="G29" t="s">
        <v>101</v>
      </c>
      <c r="H29" t="s">
        <v>102</v>
      </c>
      <c r="I29" t="s">
        <v>60</v>
      </c>
      <c r="J29">
        <v>9</v>
      </c>
    </row>
    <row r="30" spans="1:10" x14ac:dyDescent="0.25">
      <c r="A30" t="s">
        <v>103</v>
      </c>
      <c r="B30" t="s">
        <v>104</v>
      </c>
      <c r="C30" t="s">
        <v>105</v>
      </c>
      <c r="D30" t="s">
        <v>106</v>
      </c>
      <c r="E30" t="s">
        <v>107</v>
      </c>
      <c r="F30" t="s">
        <v>101</v>
      </c>
      <c r="G30" t="s">
        <v>108</v>
      </c>
      <c r="H30" t="s">
        <v>95</v>
      </c>
      <c r="I30" t="s">
        <v>60</v>
      </c>
      <c r="J30">
        <v>9</v>
      </c>
    </row>
    <row r="31" spans="1:10" x14ac:dyDescent="0.25">
      <c r="A31" t="s">
        <v>109</v>
      </c>
      <c r="B31" t="s">
        <v>110</v>
      </c>
      <c r="C31" t="s">
        <v>111</v>
      </c>
      <c r="D31" t="s">
        <v>112</v>
      </c>
      <c r="E31" t="s">
        <v>113</v>
      </c>
      <c r="F31" t="s">
        <v>108</v>
      </c>
      <c r="G31" t="s">
        <v>108</v>
      </c>
      <c r="H31" t="s">
        <v>114</v>
      </c>
      <c r="I31" t="s">
        <v>60</v>
      </c>
      <c r="J31">
        <v>9</v>
      </c>
    </row>
    <row r="32" spans="1:10" x14ac:dyDescent="0.25">
      <c r="A32" t="s">
        <v>115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60</v>
      </c>
      <c r="J32">
        <v>9</v>
      </c>
    </row>
    <row r="33" spans="1:10" x14ac:dyDescent="0.25">
      <c r="A33" t="s">
        <v>123</v>
      </c>
      <c r="B33" t="s">
        <v>124</v>
      </c>
      <c r="C33" t="s">
        <v>125</v>
      </c>
      <c r="D33" t="s">
        <v>112</v>
      </c>
      <c r="E33" t="s">
        <v>113</v>
      </c>
      <c r="F33" t="s">
        <v>126</v>
      </c>
      <c r="G33" t="s">
        <v>101</v>
      </c>
      <c r="H33" t="s">
        <v>127</v>
      </c>
      <c r="I33" t="s">
        <v>60</v>
      </c>
      <c r="J33">
        <v>10</v>
      </c>
    </row>
    <row r="34" spans="1:10" x14ac:dyDescent="0.25">
      <c r="A34" t="s">
        <v>128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60</v>
      </c>
      <c r="J34">
        <v>10</v>
      </c>
    </row>
    <row r="35" spans="1:10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101</v>
      </c>
      <c r="G35" t="s">
        <v>141</v>
      </c>
      <c r="H35" t="s">
        <v>127</v>
      </c>
      <c r="I35" t="s">
        <v>60</v>
      </c>
      <c r="J35">
        <v>10</v>
      </c>
    </row>
    <row r="36" spans="1:10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  <c r="G36" t="s">
        <v>141</v>
      </c>
      <c r="H36" t="s">
        <v>148</v>
      </c>
      <c r="I36" t="s">
        <v>149</v>
      </c>
      <c r="J36">
        <v>7</v>
      </c>
    </row>
    <row r="37" spans="1:10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  <c r="F37" t="s">
        <v>101</v>
      </c>
      <c r="G37" t="s">
        <v>155</v>
      </c>
      <c r="H37" t="s">
        <v>114</v>
      </c>
      <c r="I37" t="s">
        <v>149</v>
      </c>
      <c r="J37">
        <v>6</v>
      </c>
    </row>
    <row r="38" spans="1:10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  <c r="F38" t="s">
        <v>161</v>
      </c>
      <c r="G38" t="s">
        <v>162</v>
      </c>
      <c r="H38" t="s">
        <v>163</v>
      </c>
      <c r="I38" t="s">
        <v>60</v>
      </c>
      <c r="J38">
        <v>8</v>
      </c>
    </row>
    <row r="39" spans="1:10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t="s">
        <v>169</v>
      </c>
      <c r="G39" t="s">
        <v>170</v>
      </c>
      <c r="H39" t="s">
        <v>114</v>
      </c>
      <c r="I39" t="s">
        <v>149</v>
      </c>
      <c r="J39">
        <v>5</v>
      </c>
    </row>
    <row r="40" spans="1:10" x14ac:dyDescent="0.25">
      <c r="A40" t="s">
        <v>171</v>
      </c>
      <c r="B40" t="s">
        <v>172</v>
      </c>
      <c r="C40" t="s">
        <v>173</v>
      </c>
      <c r="D40" t="s">
        <v>174</v>
      </c>
      <c r="E40" t="s">
        <v>175</v>
      </c>
      <c r="F40" t="s">
        <v>176</v>
      </c>
      <c r="G40" t="s">
        <v>177</v>
      </c>
      <c r="H40" t="s">
        <v>122</v>
      </c>
      <c r="I40" t="s">
        <v>60</v>
      </c>
      <c r="J40">
        <v>9</v>
      </c>
    </row>
    <row r="41" spans="1:10" x14ac:dyDescent="0.25">
      <c r="A41" t="s">
        <v>178</v>
      </c>
      <c r="B41" t="s">
        <v>179</v>
      </c>
      <c r="C41" t="s">
        <v>180</v>
      </c>
      <c r="D41" t="s">
        <v>181</v>
      </c>
      <c r="E41" t="s">
        <v>182</v>
      </c>
      <c r="F41" t="s">
        <v>183</v>
      </c>
      <c r="G41" t="s">
        <v>184</v>
      </c>
      <c r="H41" t="s">
        <v>75</v>
      </c>
      <c r="I41" t="s">
        <v>149</v>
      </c>
      <c r="J41">
        <v>6</v>
      </c>
    </row>
    <row r="42" spans="1:10" x14ac:dyDescent="0.25">
      <c r="A42" s="7"/>
      <c r="B42" t="s">
        <v>185</v>
      </c>
      <c r="I42" t="s">
        <v>186</v>
      </c>
      <c r="J42">
        <v>8.36</v>
      </c>
    </row>
    <row r="44" spans="1:10" x14ac:dyDescent="0.25">
      <c r="A44" s="10" t="s">
        <v>187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1" t="s">
        <v>51</v>
      </c>
      <c r="B45" s="11" t="s">
        <v>80</v>
      </c>
      <c r="C45" s="11" t="s">
        <v>53</v>
      </c>
      <c r="D45" s="11" t="s">
        <v>82</v>
      </c>
      <c r="E45" s="11" t="s">
        <v>83</v>
      </c>
      <c r="F45" s="11" t="s">
        <v>84</v>
      </c>
      <c r="G45" s="11" t="s">
        <v>85</v>
      </c>
      <c r="H45" s="11" t="s">
        <v>188</v>
      </c>
      <c r="I45" s="11" t="s">
        <v>9</v>
      </c>
      <c r="J45" s="11" t="s">
        <v>87</v>
      </c>
    </row>
    <row r="46" spans="1:10" x14ac:dyDescent="0.25">
      <c r="A46" t="s">
        <v>114</v>
      </c>
      <c r="B46" t="s">
        <v>189</v>
      </c>
      <c r="C46" t="s">
        <v>190</v>
      </c>
      <c r="D46" t="s">
        <v>191</v>
      </c>
      <c r="E46" t="s">
        <v>192</v>
      </c>
      <c r="F46" t="s">
        <v>193</v>
      </c>
      <c r="G46" t="s">
        <v>194</v>
      </c>
      <c r="H46" t="s">
        <v>109</v>
      </c>
      <c r="I46" t="s">
        <v>60</v>
      </c>
      <c r="J46">
        <v>9</v>
      </c>
    </row>
    <row r="47" spans="1:10" x14ac:dyDescent="0.25">
      <c r="A47" t="s">
        <v>195</v>
      </c>
      <c r="B47" t="s">
        <v>196</v>
      </c>
      <c r="C47" t="s">
        <v>197</v>
      </c>
      <c r="D47" t="s">
        <v>198</v>
      </c>
      <c r="E47" t="s">
        <v>199</v>
      </c>
      <c r="F47" t="s">
        <v>200</v>
      </c>
      <c r="G47" t="s">
        <v>201</v>
      </c>
      <c r="H47" t="s">
        <v>88</v>
      </c>
      <c r="I47" t="s">
        <v>60</v>
      </c>
      <c r="J47">
        <v>9</v>
      </c>
    </row>
    <row r="48" spans="1:10" x14ac:dyDescent="0.25">
      <c r="A48" t="s">
        <v>202</v>
      </c>
      <c r="B48" t="s">
        <v>203</v>
      </c>
      <c r="C48" t="s">
        <v>204</v>
      </c>
      <c r="D48" t="s">
        <v>205</v>
      </c>
      <c r="E48" t="s">
        <v>95</v>
      </c>
      <c r="F48" t="s">
        <v>206</v>
      </c>
      <c r="G48" t="s">
        <v>207</v>
      </c>
      <c r="H48" t="s">
        <v>103</v>
      </c>
      <c r="I48" t="s">
        <v>60</v>
      </c>
      <c r="J48">
        <v>10</v>
      </c>
    </row>
    <row r="49" spans="1:10" x14ac:dyDescent="0.25">
      <c r="A49" t="s">
        <v>208</v>
      </c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123</v>
      </c>
      <c r="I49" t="s">
        <v>149</v>
      </c>
      <c r="J49">
        <v>7</v>
      </c>
    </row>
    <row r="50" spans="1:10" x14ac:dyDescent="0.25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119</v>
      </c>
      <c r="G50" t="s">
        <v>220</v>
      </c>
      <c r="H50" t="s">
        <v>150</v>
      </c>
      <c r="I50" t="s">
        <v>60</v>
      </c>
      <c r="J50">
        <v>8</v>
      </c>
    </row>
    <row r="51" spans="1:10" x14ac:dyDescent="0.25">
      <c r="A51" t="s">
        <v>221</v>
      </c>
      <c r="B51" t="s">
        <v>222</v>
      </c>
      <c r="C51" t="s">
        <v>223</v>
      </c>
      <c r="D51" t="s">
        <v>224</v>
      </c>
      <c r="E51" t="s">
        <v>225</v>
      </c>
      <c r="F51" t="s">
        <v>226</v>
      </c>
      <c r="G51" t="s">
        <v>227</v>
      </c>
      <c r="H51" t="s">
        <v>95</v>
      </c>
      <c r="I51" t="s">
        <v>60</v>
      </c>
      <c r="J51">
        <v>8</v>
      </c>
    </row>
    <row r="52" spans="1:10" x14ac:dyDescent="0.25">
      <c r="A52" t="s">
        <v>228</v>
      </c>
      <c r="B52" t="s">
        <v>229</v>
      </c>
      <c r="C52" t="s">
        <v>230</v>
      </c>
      <c r="D52" t="s">
        <v>231</v>
      </c>
      <c r="E52" t="s">
        <v>232</v>
      </c>
      <c r="F52" t="s">
        <v>233</v>
      </c>
      <c r="G52" t="s">
        <v>234</v>
      </c>
      <c r="H52" t="s">
        <v>128</v>
      </c>
      <c r="I52" t="s">
        <v>149</v>
      </c>
      <c r="J52">
        <v>6</v>
      </c>
    </row>
    <row r="53" spans="1:10" x14ac:dyDescent="0.25">
      <c r="A53" t="s">
        <v>102</v>
      </c>
      <c r="B53" t="s">
        <v>235</v>
      </c>
      <c r="C53" t="s">
        <v>236</v>
      </c>
      <c r="D53" t="s">
        <v>237</v>
      </c>
      <c r="E53" t="s">
        <v>238</v>
      </c>
      <c r="F53" t="s">
        <v>239</v>
      </c>
      <c r="G53" t="s">
        <v>240</v>
      </c>
      <c r="H53" t="s">
        <v>96</v>
      </c>
      <c r="I53" t="s">
        <v>149</v>
      </c>
      <c r="J53">
        <v>5</v>
      </c>
    </row>
    <row r="54" spans="1:10" x14ac:dyDescent="0.25">
      <c r="A54" t="s">
        <v>241</v>
      </c>
      <c r="B54" t="s">
        <v>41</v>
      </c>
      <c r="C54" t="s">
        <v>242</v>
      </c>
      <c r="D54" t="s">
        <v>243</v>
      </c>
      <c r="E54" t="s">
        <v>25</v>
      </c>
      <c r="F54" t="s">
        <v>244</v>
      </c>
      <c r="G54" t="s">
        <v>245</v>
      </c>
      <c r="H54" t="s">
        <v>103</v>
      </c>
      <c r="I54" t="s">
        <v>149</v>
      </c>
      <c r="J54">
        <v>5</v>
      </c>
    </row>
    <row r="55" spans="1:10" x14ac:dyDescent="0.25">
      <c r="A55" t="s">
        <v>148</v>
      </c>
      <c r="B55" t="s">
        <v>246</v>
      </c>
      <c r="C55" t="s">
        <v>247</v>
      </c>
      <c r="D55" t="s">
        <v>248</v>
      </c>
      <c r="E55" t="s">
        <v>249</v>
      </c>
      <c r="F55" t="s">
        <v>250</v>
      </c>
      <c r="G55" t="s">
        <v>141</v>
      </c>
      <c r="H55" t="s">
        <v>142</v>
      </c>
      <c r="I55" t="s">
        <v>60</v>
      </c>
      <c r="J55">
        <v>9</v>
      </c>
    </row>
    <row r="56" spans="1:10" x14ac:dyDescent="0.25">
      <c r="A56" t="s">
        <v>251</v>
      </c>
      <c r="B56" t="s">
        <v>252</v>
      </c>
      <c r="C56" t="s">
        <v>253</v>
      </c>
      <c r="D56" t="s">
        <v>254</v>
      </c>
      <c r="E56" t="s">
        <v>255</v>
      </c>
      <c r="F56" t="s">
        <v>256</v>
      </c>
      <c r="G56" t="s">
        <v>257</v>
      </c>
      <c r="H56" t="s">
        <v>95</v>
      </c>
      <c r="I56" t="s">
        <v>149</v>
      </c>
      <c r="J56">
        <v>5</v>
      </c>
    </row>
    <row r="57" spans="1:10" x14ac:dyDescent="0.25">
      <c r="A57" t="s">
        <v>127</v>
      </c>
      <c r="B57" t="s">
        <v>258</v>
      </c>
      <c r="C57" t="s">
        <v>259</v>
      </c>
      <c r="D57" t="s">
        <v>260</v>
      </c>
      <c r="E57" t="s">
        <v>261</v>
      </c>
      <c r="F57" t="s">
        <v>147</v>
      </c>
      <c r="G57" t="s">
        <v>262</v>
      </c>
      <c r="H57" t="s">
        <v>136</v>
      </c>
      <c r="I57" t="s">
        <v>149</v>
      </c>
      <c r="J57">
        <v>6</v>
      </c>
    </row>
    <row r="58" spans="1:10" x14ac:dyDescent="0.25">
      <c r="A58" t="s">
        <v>122</v>
      </c>
      <c r="B58" t="s">
        <v>263</v>
      </c>
      <c r="C58" t="s">
        <v>264</v>
      </c>
      <c r="D58" t="s">
        <v>265</v>
      </c>
      <c r="E58" t="s">
        <v>266</v>
      </c>
      <c r="F58" t="s">
        <v>267</v>
      </c>
      <c r="G58" t="s">
        <v>268</v>
      </c>
      <c r="H58" t="s">
        <v>115</v>
      </c>
      <c r="I58" t="s">
        <v>60</v>
      </c>
      <c r="J58">
        <v>8</v>
      </c>
    </row>
    <row r="59" spans="1:10" x14ac:dyDescent="0.25">
      <c r="A59" t="s">
        <v>163</v>
      </c>
      <c r="B59" t="s">
        <v>269</v>
      </c>
      <c r="C59" t="s">
        <v>270</v>
      </c>
      <c r="D59" t="s">
        <v>271</v>
      </c>
      <c r="E59" t="s">
        <v>182</v>
      </c>
      <c r="F59" t="s">
        <v>272</v>
      </c>
      <c r="G59" t="s">
        <v>273</v>
      </c>
      <c r="H59" t="s">
        <v>156</v>
      </c>
      <c r="I59" t="s">
        <v>149</v>
      </c>
      <c r="J59">
        <v>6</v>
      </c>
    </row>
    <row r="60" spans="1:10" x14ac:dyDescent="0.25">
      <c r="A60" t="s">
        <v>274</v>
      </c>
      <c r="B60" t="s">
        <v>275</v>
      </c>
      <c r="C60" t="s">
        <v>276</v>
      </c>
      <c r="D60" t="s">
        <v>277</v>
      </c>
      <c r="E60" t="s">
        <v>278</v>
      </c>
      <c r="F60" t="s">
        <v>279</v>
      </c>
      <c r="G60" t="s">
        <v>280</v>
      </c>
      <c r="H60" t="s">
        <v>156</v>
      </c>
      <c r="I60" t="s">
        <v>149</v>
      </c>
      <c r="J60">
        <v>6</v>
      </c>
    </row>
    <row r="61" spans="1:10" x14ac:dyDescent="0.25">
      <c r="A61" s="7"/>
      <c r="B61" t="s">
        <v>281</v>
      </c>
      <c r="I61" t="s">
        <v>186</v>
      </c>
      <c r="J61">
        <v>7.13</v>
      </c>
    </row>
    <row r="63" spans="1:10" x14ac:dyDescent="0.25">
      <c r="A63" s="12" t="s">
        <v>282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13" t="s">
        <v>51</v>
      </c>
      <c r="B64" s="13" t="s">
        <v>80</v>
      </c>
      <c r="C64" s="13" t="s">
        <v>283</v>
      </c>
      <c r="D64" s="13" t="s">
        <v>284</v>
      </c>
      <c r="E64" s="13" t="s">
        <v>285</v>
      </c>
      <c r="F64" s="13" t="s">
        <v>83</v>
      </c>
      <c r="G64" s="13" t="s">
        <v>286</v>
      </c>
      <c r="H64" s="13" t="s">
        <v>9</v>
      </c>
      <c r="I64" s="13" t="s">
        <v>287</v>
      </c>
      <c r="J64" s="13" t="s">
        <v>87</v>
      </c>
    </row>
    <row r="65" spans="1:10" x14ac:dyDescent="0.25">
      <c r="A65" t="s">
        <v>288</v>
      </c>
      <c r="B65" t="s">
        <v>289</v>
      </c>
      <c r="C65" t="s">
        <v>290</v>
      </c>
      <c r="D65" t="s">
        <v>128</v>
      </c>
      <c r="E65" t="s">
        <v>135</v>
      </c>
      <c r="F65" t="s">
        <v>291</v>
      </c>
      <c r="G65" t="s">
        <v>292</v>
      </c>
      <c r="H65" t="s">
        <v>60</v>
      </c>
      <c r="I65" t="s">
        <v>293</v>
      </c>
      <c r="J65">
        <v>10</v>
      </c>
    </row>
    <row r="66" spans="1:10" x14ac:dyDescent="0.25">
      <c r="A66" t="s">
        <v>294</v>
      </c>
      <c r="B66" t="s">
        <v>295</v>
      </c>
      <c r="C66" t="s">
        <v>296</v>
      </c>
      <c r="D66" t="s">
        <v>297</v>
      </c>
      <c r="E66" t="s">
        <v>298</v>
      </c>
      <c r="F66" t="s">
        <v>232</v>
      </c>
      <c r="G66" t="s">
        <v>299</v>
      </c>
      <c r="H66" t="s">
        <v>60</v>
      </c>
      <c r="I66" t="s">
        <v>300</v>
      </c>
      <c r="J66">
        <v>9</v>
      </c>
    </row>
    <row r="67" spans="1:10" x14ac:dyDescent="0.25">
      <c r="A67" t="s">
        <v>301</v>
      </c>
      <c r="B67" t="s">
        <v>302</v>
      </c>
      <c r="C67" t="s">
        <v>181</v>
      </c>
      <c r="D67" t="s">
        <v>178</v>
      </c>
      <c r="E67" t="s">
        <v>95</v>
      </c>
      <c r="F67" t="s">
        <v>303</v>
      </c>
      <c r="G67" t="s">
        <v>304</v>
      </c>
      <c r="H67" t="s">
        <v>149</v>
      </c>
      <c r="I67" t="s">
        <v>305</v>
      </c>
      <c r="J67">
        <v>6</v>
      </c>
    </row>
    <row r="68" spans="1:10" x14ac:dyDescent="0.25">
      <c r="A68" t="s">
        <v>306</v>
      </c>
      <c r="B68" t="s">
        <v>307</v>
      </c>
      <c r="C68" t="s">
        <v>308</v>
      </c>
      <c r="D68" t="s">
        <v>309</v>
      </c>
      <c r="E68" t="s">
        <v>310</v>
      </c>
      <c r="F68" t="s">
        <v>225</v>
      </c>
      <c r="G68" t="s">
        <v>310</v>
      </c>
      <c r="H68" t="s">
        <v>60</v>
      </c>
      <c r="I68" t="s">
        <v>311</v>
      </c>
      <c r="J68">
        <v>8</v>
      </c>
    </row>
    <row r="69" spans="1:10" x14ac:dyDescent="0.25">
      <c r="A69" t="s">
        <v>312</v>
      </c>
      <c r="B69" t="s">
        <v>313</v>
      </c>
      <c r="C69" t="s">
        <v>314</v>
      </c>
      <c r="D69" t="s">
        <v>315</v>
      </c>
      <c r="E69" t="s">
        <v>228</v>
      </c>
      <c r="F69" t="s">
        <v>316</v>
      </c>
      <c r="G69" t="s">
        <v>317</v>
      </c>
      <c r="H69" t="s">
        <v>149</v>
      </c>
      <c r="I69" t="s">
        <v>95</v>
      </c>
      <c r="J69">
        <v>5</v>
      </c>
    </row>
    <row r="70" spans="1:10" x14ac:dyDescent="0.25">
      <c r="A70" t="s">
        <v>318</v>
      </c>
      <c r="B70" t="s">
        <v>319</v>
      </c>
      <c r="C70" t="s">
        <v>320</v>
      </c>
      <c r="D70" t="s">
        <v>128</v>
      </c>
      <c r="E70" t="s">
        <v>228</v>
      </c>
      <c r="F70" t="s">
        <v>182</v>
      </c>
      <c r="G70" t="s">
        <v>317</v>
      </c>
      <c r="H70" t="s">
        <v>149</v>
      </c>
      <c r="I70" t="s">
        <v>95</v>
      </c>
      <c r="J70">
        <v>5</v>
      </c>
    </row>
    <row r="71" spans="1:10" x14ac:dyDescent="0.25">
      <c r="A71" t="s">
        <v>321</v>
      </c>
      <c r="B71" t="s">
        <v>322</v>
      </c>
      <c r="C71" t="s">
        <v>323</v>
      </c>
      <c r="D71" t="s">
        <v>109</v>
      </c>
      <c r="E71" t="s">
        <v>114</v>
      </c>
      <c r="F71" t="s">
        <v>324</v>
      </c>
      <c r="G71" t="s">
        <v>325</v>
      </c>
      <c r="H71" t="s">
        <v>149</v>
      </c>
      <c r="I71" t="s">
        <v>326</v>
      </c>
      <c r="J71">
        <v>6</v>
      </c>
    </row>
    <row r="72" spans="1:10" x14ac:dyDescent="0.25">
      <c r="A72" t="s">
        <v>327</v>
      </c>
      <c r="B72" t="s">
        <v>328</v>
      </c>
      <c r="C72" t="s">
        <v>329</v>
      </c>
      <c r="D72" t="s">
        <v>123</v>
      </c>
      <c r="E72" t="s">
        <v>127</v>
      </c>
      <c r="F72" s="6">
        <v>46039</v>
      </c>
      <c r="G72" t="s">
        <v>325</v>
      </c>
      <c r="H72" t="s">
        <v>149</v>
      </c>
      <c r="I72" t="s">
        <v>311</v>
      </c>
      <c r="J72">
        <v>6</v>
      </c>
    </row>
    <row r="73" spans="1:10" x14ac:dyDescent="0.25">
      <c r="A73" t="s">
        <v>330</v>
      </c>
      <c r="B73" t="s">
        <v>331</v>
      </c>
      <c r="C73" t="s">
        <v>332</v>
      </c>
      <c r="D73" t="s">
        <v>136</v>
      </c>
      <c r="E73" t="s">
        <v>127</v>
      </c>
      <c r="F73" t="s">
        <v>333</v>
      </c>
      <c r="G73" t="s">
        <v>334</v>
      </c>
      <c r="H73" t="s">
        <v>149</v>
      </c>
      <c r="I73" t="s">
        <v>95</v>
      </c>
      <c r="J73">
        <v>5</v>
      </c>
    </row>
    <row r="74" spans="1:10" x14ac:dyDescent="0.25">
      <c r="A74" t="s">
        <v>335</v>
      </c>
      <c r="B74" t="s">
        <v>336</v>
      </c>
      <c r="C74" t="s">
        <v>337</v>
      </c>
      <c r="D74" t="s">
        <v>109</v>
      </c>
      <c r="E74" t="s">
        <v>114</v>
      </c>
      <c r="F74" t="s">
        <v>338</v>
      </c>
      <c r="G74" t="s">
        <v>317</v>
      </c>
      <c r="H74" t="s">
        <v>149</v>
      </c>
      <c r="I74" t="s">
        <v>326</v>
      </c>
      <c r="J74">
        <v>6</v>
      </c>
    </row>
    <row r="75" spans="1:10" x14ac:dyDescent="0.25">
      <c r="A75" t="s">
        <v>339</v>
      </c>
      <c r="B75" t="s">
        <v>340</v>
      </c>
      <c r="C75" t="s">
        <v>341</v>
      </c>
      <c r="D75" t="s">
        <v>156</v>
      </c>
      <c r="E75" t="s">
        <v>163</v>
      </c>
      <c r="F75" t="s">
        <v>182</v>
      </c>
      <c r="G75" t="s">
        <v>317</v>
      </c>
      <c r="H75" t="s">
        <v>149</v>
      </c>
      <c r="I75" t="s">
        <v>95</v>
      </c>
      <c r="J75">
        <v>5</v>
      </c>
    </row>
    <row r="76" spans="1:10" x14ac:dyDescent="0.25">
      <c r="A76" t="s">
        <v>342</v>
      </c>
      <c r="B76" t="s">
        <v>343</v>
      </c>
      <c r="C76" t="s">
        <v>344</v>
      </c>
      <c r="D76" t="s">
        <v>156</v>
      </c>
      <c r="E76" t="s">
        <v>274</v>
      </c>
      <c r="F76" t="s">
        <v>345</v>
      </c>
      <c r="G76" t="s">
        <v>317</v>
      </c>
      <c r="H76" t="s">
        <v>149</v>
      </c>
      <c r="I76" t="s">
        <v>95</v>
      </c>
      <c r="J76">
        <v>5</v>
      </c>
    </row>
    <row r="77" spans="1:10" x14ac:dyDescent="0.25">
      <c r="A77" t="s">
        <v>346</v>
      </c>
      <c r="B77" t="s">
        <v>347</v>
      </c>
      <c r="C77" t="s">
        <v>348</v>
      </c>
      <c r="D77" t="s">
        <v>95</v>
      </c>
      <c r="E77" t="s">
        <v>215</v>
      </c>
      <c r="F77" t="s">
        <v>349</v>
      </c>
      <c r="G77" t="s">
        <v>317</v>
      </c>
      <c r="H77" t="s">
        <v>149</v>
      </c>
      <c r="I77" t="s">
        <v>311</v>
      </c>
      <c r="J77">
        <v>5</v>
      </c>
    </row>
    <row r="78" spans="1:10" x14ac:dyDescent="0.25">
      <c r="A78" t="s">
        <v>350</v>
      </c>
      <c r="B78" t="s">
        <v>351</v>
      </c>
      <c r="C78" t="s">
        <v>352</v>
      </c>
      <c r="D78" t="s">
        <v>178</v>
      </c>
      <c r="E78" t="s">
        <v>122</v>
      </c>
      <c r="F78" t="s">
        <v>353</v>
      </c>
      <c r="G78" t="s">
        <v>354</v>
      </c>
      <c r="H78" t="s">
        <v>149</v>
      </c>
      <c r="I78" t="s">
        <v>305</v>
      </c>
      <c r="J78">
        <v>7</v>
      </c>
    </row>
    <row r="79" spans="1:10" x14ac:dyDescent="0.25">
      <c r="A79" t="s">
        <v>355</v>
      </c>
      <c r="B79" t="s">
        <v>356</v>
      </c>
      <c r="C79" t="s">
        <v>357</v>
      </c>
      <c r="D79" t="s">
        <v>358</v>
      </c>
      <c r="E79" t="s">
        <v>189</v>
      </c>
      <c r="F79" t="s">
        <v>359</v>
      </c>
      <c r="G79" t="s">
        <v>360</v>
      </c>
      <c r="H79" t="s">
        <v>60</v>
      </c>
      <c r="I79" t="s">
        <v>95</v>
      </c>
      <c r="J79">
        <v>10</v>
      </c>
    </row>
    <row r="80" spans="1:10" x14ac:dyDescent="0.25">
      <c r="A80" s="7"/>
      <c r="B80" t="s">
        <v>361</v>
      </c>
      <c r="I80" t="s">
        <v>186</v>
      </c>
      <c r="J80">
        <v>6.53</v>
      </c>
    </row>
    <row r="82" spans="1:14" x14ac:dyDescent="0.25">
      <c r="A82" s="14" t="s">
        <v>362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15" t="s">
        <v>363</v>
      </c>
      <c r="B83" s="15" t="s">
        <v>364</v>
      </c>
      <c r="C83" s="15" t="s">
        <v>365</v>
      </c>
      <c r="D83" s="15" t="s">
        <v>366</v>
      </c>
      <c r="E83" s="15" t="s">
        <v>367</v>
      </c>
      <c r="F83" s="15" t="s">
        <v>83</v>
      </c>
      <c r="G83" s="15" t="s">
        <v>368</v>
      </c>
      <c r="H83" s="15" t="s">
        <v>369</v>
      </c>
      <c r="I83" s="15" t="s">
        <v>370</v>
      </c>
      <c r="J83" s="15" t="s">
        <v>287</v>
      </c>
      <c r="K83" s="15" t="s">
        <v>371</v>
      </c>
      <c r="L83" s="15" t="s">
        <v>372</v>
      </c>
      <c r="M83" s="15" t="s">
        <v>373</v>
      </c>
      <c r="N83" s="15" t="s">
        <v>87</v>
      </c>
    </row>
    <row r="84" spans="1:14" x14ac:dyDescent="0.25">
      <c r="A84" t="s">
        <v>374</v>
      </c>
      <c r="B84" t="s">
        <v>375</v>
      </c>
      <c r="C84" t="s">
        <v>376</v>
      </c>
      <c r="D84" t="s">
        <v>377</v>
      </c>
      <c r="E84" t="s">
        <v>378</v>
      </c>
      <c r="F84" t="s">
        <v>291</v>
      </c>
      <c r="G84" t="s">
        <v>379</v>
      </c>
      <c r="H84" t="s">
        <v>380</v>
      </c>
      <c r="I84" t="s">
        <v>60</v>
      </c>
      <c r="J84" t="s">
        <v>293</v>
      </c>
      <c r="K84" t="s">
        <v>60</v>
      </c>
      <c r="L84" t="s">
        <v>60</v>
      </c>
      <c r="M84" t="s">
        <v>95</v>
      </c>
      <c r="N84">
        <v>10</v>
      </c>
    </row>
    <row r="85" spans="1:14" x14ac:dyDescent="0.25">
      <c r="A85" t="s">
        <v>381</v>
      </c>
      <c r="B85" t="s">
        <v>382</v>
      </c>
      <c r="C85" t="s">
        <v>383</v>
      </c>
      <c r="D85" t="s">
        <v>384</v>
      </c>
      <c r="E85" t="s">
        <v>385</v>
      </c>
      <c r="F85" t="s">
        <v>386</v>
      </c>
      <c r="G85" t="s">
        <v>141</v>
      </c>
      <c r="H85" t="s">
        <v>140</v>
      </c>
      <c r="I85" t="s">
        <v>149</v>
      </c>
      <c r="J85" t="s">
        <v>95</v>
      </c>
      <c r="K85" t="s">
        <v>149</v>
      </c>
      <c r="L85" t="s">
        <v>60</v>
      </c>
      <c r="M85" t="s">
        <v>387</v>
      </c>
      <c r="N85">
        <v>5</v>
      </c>
    </row>
    <row r="86" spans="1:14" x14ac:dyDescent="0.25">
      <c r="A86" t="s">
        <v>388</v>
      </c>
      <c r="B86" t="s">
        <v>389</v>
      </c>
      <c r="C86" t="s">
        <v>390</v>
      </c>
      <c r="D86" t="s">
        <v>391</v>
      </c>
      <c r="E86" t="s">
        <v>385</v>
      </c>
      <c r="F86" t="s">
        <v>33</v>
      </c>
      <c r="G86" t="s">
        <v>89</v>
      </c>
      <c r="H86" t="s">
        <v>392</v>
      </c>
      <c r="I86" t="s">
        <v>149</v>
      </c>
      <c r="J86" t="s">
        <v>95</v>
      </c>
      <c r="K86" t="s">
        <v>60</v>
      </c>
      <c r="L86" t="s">
        <v>149</v>
      </c>
      <c r="M86" t="s">
        <v>393</v>
      </c>
      <c r="N86">
        <v>6</v>
      </c>
    </row>
    <row r="87" spans="1:14" x14ac:dyDescent="0.25">
      <c r="A87" t="s">
        <v>394</v>
      </c>
      <c r="B87" t="s">
        <v>389</v>
      </c>
      <c r="C87" t="s">
        <v>395</v>
      </c>
      <c r="D87" t="s">
        <v>396</v>
      </c>
      <c r="E87" t="s">
        <v>385</v>
      </c>
      <c r="F87" t="s">
        <v>92</v>
      </c>
      <c r="G87" t="s">
        <v>397</v>
      </c>
      <c r="H87" t="s">
        <v>278</v>
      </c>
      <c r="I87" t="s">
        <v>149</v>
      </c>
      <c r="J87" t="s">
        <v>95</v>
      </c>
      <c r="K87" t="s">
        <v>60</v>
      </c>
      <c r="L87" t="s">
        <v>149</v>
      </c>
      <c r="M87" t="s">
        <v>393</v>
      </c>
      <c r="N87">
        <v>6</v>
      </c>
    </row>
    <row r="88" spans="1:14" x14ac:dyDescent="0.25">
      <c r="A88" t="s">
        <v>398</v>
      </c>
      <c r="B88" t="s">
        <v>399</v>
      </c>
      <c r="C88" t="s">
        <v>400</v>
      </c>
      <c r="D88" t="s">
        <v>401</v>
      </c>
      <c r="E88" t="s">
        <v>378</v>
      </c>
      <c r="F88" t="s">
        <v>182</v>
      </c>
      <c r="G88" t="s">
        <v>199</v>
      </c>
      <c r="H88" t="s">
        <v>175</v>
      </c>
      <c r="I88" t="s">
        <v>149</v>
      </c>
      <c r="J88" t="s">
        <v>305</v>
      </c>
      <c r="K88" t="s">
        <v>149</v>
      </c>
      <c r="L88" t="s">
        <v>149</v>
      </c>
      <c r="M88" t="s">
        <v>402</v>
      </c>
      <c r="N88">
        <v>3</v>
      </c>
    </row>
    <row r="89" spans="1:14" x14ac:dyDescent="0.25">
      <c r="A89" t="s">
        <v>403</v>
      </c>
      <c r="B89" t="s">
        <v>404</v>
      </c>
      <c r="C89" t="s">
        <v>405</v>
      </c>
      <c r="D89" t="s">
        <v>237</v>
      </c>
      <c r="E89" t="s">
        <v>406</v>
      </c>
      <c r="F89" s="6">
        <v>46039</v>
      </c>
      <c r="G89" t="s">
        <v>407</v>
      </c>
      <c r="H89" t="s">
        <v>408</v>
      </c>
      <c r="I89" t="s">
        <v>149</v>
      </c>
      <c r="J89" t="s">
        <v>95</v>
      </c>
      <c r="K89" t="s">
        <v>60</v>
      </c>
      <c r="L89" t="s">
        <v>149</v>
      </c>
      <c r="M89" t="s">
        <v>409</v>
      </c>
      <c r="N89">
        <v>4</v>
      </c>
    </row>
    <row r="90" spans="1:14" x14ac:dyDescent="0.25">
      <c r="A90" t="s">
        <v>410</v>
      </c>
      <c r="B90" t="s">
        <v>411</v>
      </c>
      <c r="C90" t="s">
        <v>376</v>
      </c>
      <c r="D90" t="s">
        <v>412</v>
      </c>
      <c r="E90" t="s">
        <v>406</v>
      </c>
      <c r="F90" t="s">
        <v>28</v>
      </c>
      <c r="G90" t="s">
        <v>379</v>
      </c>
      <c r="H90" t="s">
        <v>413</v>
      </c>
      <c r="I90" t="s">
        <v>149</v>
      </c>
      <c r="J90" t="s">
        <v>326</v>
      </c>
      <c r="K90" t="s">
        <v>60</v>
      </c>
      <c r="L90" t="s">
        <v>149</v>
      </c>
      <c r="M90" t="s">
        <v>414</v>
      </c>
      <c r="N90">
        <v>5</v>
      </c>
    </row>
    <row r="91" spans="1:14" x14ac:dyDescent="0.25">
      <c r="A91" t="s">
        <v>415</v>
      </c>
      <c r="B91" t="s">
        <v>416</v>
      </c>
      <c r="C91" t="s">
        <v>376</v>
      </c>
      <c r="D91" t="s">
        <v>154</v>
      </c>
      <c r="E91" t="s">
        <v>378</v>
      </c>
      <c r="F91" t="s">
        <v>417</v>
      </c>
      <c r="G91" t="s">
        <v>418</v>
      </c>
      <c r="H91" t="s">
        <v>419</v>
      </c>
      <c r="I91" t="s">
        <v>149</v>
      </c>
      <c r="J91" t="s">
        <v>95</v>
      </c>
      <c r="K91" t="s">
        <v>149</v>
      </c>
      <c r="L91" t="s">
        <v>149</v>
      </c>
      <c r="M91" t="s">
        <v>420</v>
      </c>
      <c r="N91">
        <v>4</v>
      </c>
    </row>
    <row r="92" spans="1:14" x14ac:dyDescent="0.25">
      <c r="A92" t="s">
        <v>421</v>
      </c>
      <c r="B92" t="s">
        <v>375</v>
      </c>
      <c r="C92" t="s">
        <v>422</v>
      </c>
      <c r="D92" t="s">
        <v>423</v>
      </c>
      <c r="E92" t="s">
        <v>378</v>
      </c>
      <c r="F92" t="s">
        <v>424</v>
      </c>
      <c r="G92" t="s">
        <v>425</v>
      </c>
      <c r="H92" t="s">
        <v>426</v>
      </c>
      <c r="I92" t="s">
        <v>149</v>
      </c>
      <c r="J92" t="s">
        <v>95</v>
      </c>
      <c r="K92" t="s">
        <v>149</v>
      </c>
      <c r="L92" t="s">
        <v>60</v>
      </c>
      <c r="M92" t="s">
        <v>427</v>
      </c>
      <c r="N92">
        <v>4</v>
      </c>
    </row>
    <row r="93" spans="1:14" x14ac:dyDescent="0.25">
      <c r="A93" t="s">
        <v>428</v>
      </c>
      <c r="B93" t="s">
        <v>375</v>
      </c>
      <c r="C93" t="s">
        <v>429</v>
      </c>
      <c r="D93" t="s">
        <v>430</v>
      </c>
      <c r="E93" t="s">
        <v>406</v>
      </c>
      <c r="F93" t="s">
        <v>349</v>
      </c>
      <c r="G93" t="s">
        <v>431</v>
      </c>
      <c r="H93" t="s">
        <v>432</v>
      </c>
      <c r="I93" t="s">
        <v>149</v>
      </c>
      <c r="J93" t="s">
        <v>311</v>
      </c>
      <c r="K93" t="s">
        <v>60</v>
      </c>
      <c r="L93" t="s">
        <v>149</v>
      </c>
      <c r="M93" t="s">
        <v>427</v>
      </c>
      <c r="N93">
        <v>5</v>
      </c>
    </row>
    <row r="94" spans="1:14" x14ac:dyDescent="0.25">
      <c r="A94" t="s">
        <v>433</v>
      </c>
      <c r="B94" t="s">
        <v>95</v>
      </c>
      <c r="C94" t="s">
        <v>434</v>
      </c>
      <c r="D94" t="s">
        <v>435</v>
      </c>
      <c r="E94" t="s">
        <v>436</v>
      </c>
      <c r="F94" t="s">
        <v>28</v>
      </c>
      <c r="G94" t="s">
        <v>437</v>
      </c>
      <c r="H94" t="s">
        <v>212</v>
      </c>
      <c r="I94" t="s">
        <v>60</v>
      </c>
      <c r="J94" t="s">
        <v>326</v>
      </c>
      <c r="K94" t="s">
        <v>60</v>
      </c>
      <c r="L94" t="s">
        <v>95</v>
      </c>
      <c r="M94" t="s">
        <v>95</v>
      </c>
      <c r="N94">
        <v>8</v>
      </c>
    </row>
    <row r="95" spans="1:14" x14ac:dyDescent="0.25">
      <c r="A95" t="s">
        <v>438</v>
      </c>
      <c r="B95" t="s">
        <v>439</v>
      </c>
      <c r="C95" t="s">
        <v>440</v>
      </c>
      <c r="D95" t="s">
        <v>441</v>
      </c>
      <c r="E95" t="s">
        <v>378</v>
      </c>
      <c r="F95" t="s">
        <v>92</v>
      </c>
      <c r="G95" t="s">
        <v>89</v>
      </c>
      <c r="H95" t="s">
        <v>199</v>
      </c>
      <c r="I95" t="s">
        <v>60</v>
      </c>
      <c r="J95" t="s">
        <v>95</v>
      </c>
      <c r="K95" t="s">
        <v>60</v>
      </c>
      <c r="L95" t="s">
        <v>60</v>
      </c>
      <c r="M95" t="s">
        <v>95</v>
      </c>
      <c r="N95">
        <v>9</v>
      </c>
    </row>
    <row r="96" spans="1:14" x14ac:dyDescent="0.25">
      <c r="A96" t="s">
        <v>442</v>
      </c>
      <c r="B96" t="s">
        <v>358</v>
      </c>
      <c r="C96" t="s">
        <v>443</v>
      </c>
      <c r="D96" t="s">
        <v>444</v>
      </c>
      <c r="E96" t="s">
        <v>378</v>
      </c>
      <c r="F96" t="s">
        <v>445</v>
      </c>
      <c r="G96" t="s">
        <v>446</v>
      </c>
      <c r="H96" t="s">
        <v>447</v>
      </c>
      <c r="I96" t="s">
        <v>60</v>
      </c>
      <c r="J96" t="s">
        <v>95</v>
      </c>
      <c r="K96" t="s">
        <v>60</v>
      </c>
      <c r="L96" t="s">
        <v>60</v>
      </c>
      <c r="M96" t="s">
        <v>95</v>
      </c>
      <c r="N96">
        <v>10</v>
      </c>
    </row>
    <row r="97" spans="1:14" x14ac:dyDescent="0.25">
      <c r="A97" t="s">
        <v>448</v>
      </c>
      <c r="B97" t="s">
        <v>449</v>
      </c>
      <c r="C97" t="s">
        <v>450</v>
      </c>
      <c r="D97" t="s">
        <v>451</v>
      </c>
      <c r="E97" t="s">
        <v>406</v>
      </c>
      <c r="F97" t="s">
        <v>452</v>
      </c>
      <c r="G97" t="s">
        <v>453</v>
      </c>
      <c r="H97" t="s">
        <v>454</v>
      </c>
      <c r="I97" t="s">
        <v>60</v>
      </c>
      <c r="J97" t="s">
        <v>107</v>
      </c>
      <c r="K97" t="s">
        <v>60</v>
      </c>
      <c r="L97" t="s">
        <v>60</v>
      </c>
      <c r="M97" t="s">
        <v>95</v>
      </c>
      <c r="N97">
        <v>9</v>
      </c>
    </row>
    <row r="98" spans="1:14" x14ac:dyDescent="0.25">
      <c r="A98" t="s">
        <v>455</v>
      </c>
      <c r="B98" t="s">
        <v>456</v>
      </c>
      <c r="C98" t="s">
        <v>305</v>
      </c>
      <c r="D98" t="s">
        <v>457</v>
      </c>
      <c r="E98" t="s">
        <v>378</v>
      </c>
      <c r="F98" t="s">
        <v>458</v>
      </c>
      <c r="G98" t="s">
        <v>459</v>
      </c>
      <c r="H98" t="s">
        <v>460</v>
      </c>
      <c r="I98" t="s">
        <v>60</v>
      </c>
      <c r="J98" t="s">
        <v>461</v>
      </c>
      <c r="K98" t="s">
        <v>60</v>
      </c>
      <c r="L98" t="s">
        <v>60</v>
      </c>
      <c r="M98" t="s">
        <v>95</v>
      </c>
      <c r="N98">
        <v>9</v>
      </c>
    </row>
    <row r="99" spans="1:14" x14ac:dyDescent="0.25">
      <c r="A99" s="7"/>
      <c r="B99" t="s">
        <v>462</v>
      </c>
      <c r="M99" t="s">
        <v>186</v>
      </c>
      <c r="N99">
        <v>6.47</v>
      </c>
    </row>
    <row r="101" spans="1:14" x14ac:dyDescent="0.25">
      <c r="A101" s="16" t="s">
        <v>463</v>
      </c>
      <c r="B101" s="2"/>
      <c r="C101" s="2"/>
      <c r="D101" s="2"/>
      <c r="E101" s="2"/>
      <c r="F101" s="2"/>
      <c r="G101" s="2"/>
      <c r="H101" s="2"/>
      <c r="I101" s="2"/>
      <c r="J101" s="2"/>
    </row>
    <row r="103" spans="1:14" x14ac:dyDescent="0.25">
      <c r="A103" s="17" t="s">
        <v>464</v>
      </c>
      <c r="B103" s="2"/>
      <c r="C103" s="2"/>
      <c r="D103" s="2"/>
      <c r="E103" s="2"/>
      <c r="F103" s="18" t="s">
        <v>465</v>
      </c>
      <c r="G103" s="2"/>
      <c r="H103" s="2"/>
      <c r="I103" s="2"/>
      <c r="J103" s="2"/>
    </row>
    <row r="104" spans="1:14" x14ac:dyDescent="0.25">
      <c r="A104" s="7" t="s">
        <v>466</v>
      </c>
      <c r="B104" s="7" t="s">
        <v>467</v>
      </c>
      <c r="C104" s="7" t="s">
        <v>468</v>
      </c>
      <c r="D104" s="7" t="s">
        <v>87</v>
      </c>
      <c r="E104" s="7" t="s">
        <v>469</v>
      </c>
      <c r="F104" s="7" t="s">
        <v>466</v>
      </c>
      <c r="G104" s="7" t="s">
        <v>467</v>
      </c>
      <c r="H104" s="7" t="s">
        <v>468</v>
      </c>
      <c r="I104" s="7" t="s">
        <v>87</v>
      </c>
      <c r="J104" s="7" t="s">
        <v>469</v>
      </c>
    </row>
    <row r="105" spans="1:14" x14ac:dyDescent="0.25">
      <c r="A105" t="s">
        <v>470</v>
      </c>
      <c r="B105" t="s">
        <v>471</v>
      </c>
      <c r="C105" t="s">
        <v>472</v>
      </c>
      <c r="D105">
        <v>9</v>
      </c>
      <c r="E105" t="s">
        <v>60</v>
      </c>
      <c r="F105" t="s">
        <v>473</v>
      </c>
      <c r="G105" t="s">
        <v>474</v>
      </c>
      <c r="H105" t="s">
        <v>475</v>
      </c>
      <c r="I105">
        <v>10</v>
      </c>
      <c r="J105" t="s">
        <v>60</v>
      </c>
    </row>
    <row r="106" spans="1:14" x14ac:dyDescent="0.25">
      <c r="A106" t="s">
        <v>476</v>
      </c>
      <c r="B106" t="s">
        <v>477</v>
      </c>
      <c r="C106" t="s">
        <v>478</v>
      </c>
      <c r="D106">
        <v>6</v>
      </c>
      <c r="E106" t="s">
        <v>409</v>
      </c>
      <c r="F106" t="s">
        <v>479</v>
      </c>
      <c r="G106" t="s">
        <v>172</v>
      </c>
      <c r="H106" t="s">
        <v>480</v>
      </c>
      <c r="I106">
        <v>9</v>
      </c>
      <c r="J106" t="s">
        <v>60</v>
      </c>
    </row>
    <row r="107" spans="1:14" x14ac:dyDescent="0.25">
      <c r="A107" t="s">
        <v>481</v>
      </c>
      <c r="B107" t="s">
        <v>482</v>
      </c>
      <c r="C107" t="s">
        <v>483</v>
      </c>
      <c r="D107">
        <v>10</v>
      </c>
      <c r="E107" t="s">
        <v>60</v>
      </c>
      <c r="F107" t="s">
        <v>484</v>
      </c>
      <c r="G107" t="s">
        <v>157</v>
      </c>
      <c r="H107" t="s">
        <v>485</v>
      </c>
      <c r="I107">
        <v>7</v>
      </c>
      <c r="J107" t="s">
        <v>486</v>
      </c>
    </row>
    <row r="108" spans="1:14" x14ac:dyDescent="0.25">
      <c r="A108" t="s">
        <v>487</v>
      </c>
      <c r="B108" t="s">
        <v>488</v>
      </c>
      <c r="C108" t="s">
        <v>489</v>
      </c>
      <c r="D108">
        <v>7</v>
      </c>
      <c r="E108" t="s">
        <v>486</v>
      </c>
      <c r="F108" t="s">
        <v>490</v>
      </c>
      <c r="G108" t="s">
        <v>491</v>
      </c>
      <c r="H108" t="s">
        <v>472</v>
      </c>
      <c r="I108">
        <v>6</v>
      </c>
      <c r="J108" t="s">
        <v>486</v>
      </c>
    </row>
    <row r="109" spans="1:14" x14ac:dyDescent="0.25">
      <c r="A109" t="s">
        <v>492</v>
      </c>
      <c r="B109" t="s">
        <v>493</v>
      </c>
      <c r="C109" t="s">
        <v>494</v>
      </c>
      <c r="D109">
        <v>2</v>
      </c>
      <c r="E109" t="s">
        <v>495</v>
      </c>
      <c r="F109" t="s">
        <v>496</v>
      </c>
      <c r="G109" t="s">
        <v>497</v>
      </c>
      <c r="H109" t="s">
        <v>494</v>
      </c>
      <c r="I109">
        <v>2</v>
      </c>
      <c r="J109" t="s">
        <v>495</v>
      </c>
    </row>
    <row r="110" spans="1:14" x14ac:dyDescent="0.25">
      <c r="A110" t="s">
        <v>498</v>
      </c>
      <c r="B110" t="s">
        <v>499</v>
      </c>
      <c r="C110" t="s">
        <v>500</v>
      </c>
      <c r="D110">
        <v>9</v>
      </c>
      <c r="E110" t="s">
        <v>60</v>
      </c>
      <c r="F110" t="s">
        <v>501</v>
      </c>
      <c r="G110" t="s">
        <v>313</v>
      </c>
      <c r="H110" t="s">
        <v>502</v>
      </c>
      <c r="I110">
        <v>4</v>
      </c>
      <c r="J110" t="s">
        <v>486</v>
      </c>
    </row>
    <row r="111" spans="1:14" x14ac:dyDescent="0.25">
      <c r="A111" t="s">
        <v>503</v>
      </c>
      <c r="B111" t="s">
        <v>504</v>
      </c>
      <c r="C111" t="s">
        <v>494</v>
      </c>
      <c r="D111">
        <v>0</v>
      </c>
      <c r="E111" t="s">
        <v>495</v>
      </c>
      <c r="F111" t="s">
        <v>505</v>
      </c>
      <c r="G111" t="s">
        <v>506</v>
      </c>
      <c r="H111" t="s">
        <v>494</v>
      </c>
      <c r="I111">
        <v>1</v>
      </c>
      <c r="J111" t="s">
        <v>495</v>
      </c>
    </row>
    <row r="112" spans="1:14" x14ac:dyDescent="0.25">
      <c r="A112" t="s">
        <v>507</v>
      </c>
      <c r="B112" t="s">
        <v>508</v>
      </c>
      <c r="C112" t="s">
        <v>494</v>
      </c>
      <c r="D112">
        <v>0</v>
      </c>
      <c r="E112" t="s">
        <v>495</v>
      </c>
      <c r="F112" t="s">
        <v>509</v>
      </c>
      <c r="G112" t="s">
        <v>510</v>
      </c>
      <c r="H112" t="s">
        <v>494</v>
      </c>
      <c r="I112">
        <v>1</v>
      </c>
      <c r="J112" t="s">
        <v>495</v>
      </c>
    </row>
    <row r="113" spans="1:10" x14ac:dyDescent="0.25">
      <c r="A113" t="s">
        <v>511</v>
      </c>
      <c r="B113" t="s">
        <v>512</v>
      </c>
      <c r="C113" t="s">
        <v>513</v>
      </c>
      <c r="D113">
        <v>5</v>
      </c>
      <c r="E113" t="s">
        <v>486</v>
      </c>
      <c r="F113" t="s">
        <v>514</v>
      </c>
      <c r="G113" t="s">
        <v>515</v>
      </c>
      <c r="H113" t="s">
        <v>516</v>
      </c>
      <c r="I113">
        <v>4</v>
      </c>
      <c r="J113" t="s">
        <v>486</v>
      </c>
    </row>
    <row r="114" spans="1:10" x14ac:dyDescent="0.25">
      <c r="A114" t="s">
        <v>517</v>
      </c>
      <c r="B114" t="s">
        <v>518</v>
      </c>
      <c r="C114" t="s">
        <v>519</v>
      </c>
      <c r="D114">
        <v>9</v>
      </c>
      <c r="E114" t="s">
        <v>60</v>
      </c>
      <c r="F114" t="s">
        <v>520</v>
      </c>
      <c r="G114" t="s">
        <v>521</v>
      </c>
      <c r="H114" t="s">
        <v>522</v>
      </c>
      <c r="I114">
        <v>3</v>
      </c>
      <c r="J114" t="s">
        <v>486</v>
      </c>
    </row>
    <row r="115" spans="1:10" x14ac:dyDescent="0.25">
      <c r="A115" s="7" t="s">
        <v>523</v>
      </c>
      <c r="D115">
        <v>5.7</v>
      </c>
      <c r="F115" s="7" t="s">
        <v>524</v>
      </c>
      <c r="I115">
        <v>4.7</v>
      </c>
    </row>
    <row r="117" spans="1:10" x14ac:dyDescent="0.25">
      <c r="A117" s="19" t="s">
        <v>525</v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0" t="s">
        <v>526</v>
      </c>
      <c r="B118" s="20" t="s">
        <v>53</v>
      </c>
      <c r="C118" s="20" t="s">
        <v>527</v>
      </c>
      <c r="D118" s="20" t="s">
        <v>528</v>
      </c>
      <c r="E118" s="20" t="s">
        <v>529</v>
      </c>
      <c r="F118" s="20" t="s">
        <v>530</v>
      </c>
      <c r="G118" s="20" t="s">
        <v>369</v>
      </c>
      <c r="H118" s="20" t="s">
        <v>368</v>
      </c>
      <c r="I118" s="20" t="s">
        <v>531</v>
      </c>
      <c r="J118" s="20" t="s">
        <v>87</v>
      </c>
    </row>
    <row r="119" spans="1:10" x14ac:dyDescent="0.25">
      <c r="A119" t="s">
        <v>532</v>
      </c>
      <c r="B119" t="s">
        <v>533</v>
      </c>
      <c r="C119">
        <v>17</v>
      </c>
      <c r="D119" t="s">
        <v>534</v>
      </c>
      <c r="E119" t="s">
        <v>535</v>
      </c>
      <c r="F119" t="s">
        <v>63</v>
      </c>
      <c r="G119" t="s">
        <v>16</v>
      </c>
      <c r="H119" t="s">
        <v>536</v>
      </c>
      <c r="I119" t="s">
        <v>537</v>
      </c>
      <c r="J119">
        <v>10</v>
      </c>
    </row>
    <row r="120" spans="1:10" x14ac:dyDescent="0.25">
      <c r="A120" t="s">
        <v>538</v>
      </c>
      <c r="B120" t="s">
        <v>539</v>
      </c>
      <c r="C120">
        <f>D8</f>
        <v>4.2925603348728243E-4</v>
      </c>
      <c r="D120" t="s">
        <v>540</v>
      </c>
      <c r="E120" t="s">
        <v>128</v>
      </c>
      <c r="F120" t="s">
        <v>135</v>
      </c>
      <c r="G120" t="s">
        <v>541</v>
      </c>
      <c r="H120" t="s">
        <v>542</v>
      </c>
      <c r="I120" t="s">
        <v>537</v>
      </c>
      <c r="J120">
        <v>9</v>
      </c>
    </row>
    <row r="121" spans="1:10" x14ac:dyDescent="0.25">
      <c r="A121" t="s">
        <v>543</v>
      </c>
      <c r="B121" t="s">
        <v>544</v>
      </c>
      <c r="C121">
        <f>D13</f>
        <v>5.8823529411764705E-2</v>
      </c>
      <c r="D121" t="s">
        <v>545</v>
      </c>
      <c r="E121" t="s">
        <v>546</v>
      </c>
      <c r="F121" t="s">
        <v>137</v>
      </c>
      <c r="G121" t="s">
        <v>349</v>
      </c>
      <c r="H121" t="s">
        <v>547</v>
      </c>
      <c r="I121" t="s">
        <v>304</v>
      </c>
      <c r="J121">
        <v>5</v>
      </c>
    </row>
    <row r="122" spans="1:10" x14ac:dyDescent="0.25">
      <c r="A122" t="s">
        <v>548</v>
      </c>
      <c r="B122" t="s">
        <v>549</v>
      </c>
      <c r="C122">
        <f>D10</f>
        <v>0.63354534018207409</v>
      </c>
      <c r="D122" t="s">
        <v>550</v>
      </c>
      <c r="E122" t="s">
        <v>551</v>
      </c>
      <c r="F122" t="s">
        <v>300</v>
      </c>
      <c r="G122" t="s">
        <v>552</v>
      </c>
      <c r="H122" t="s">
        <v>553</v>
      </c>
      <c r="I122" t="s">
        <v>537</v>
      </c>
      <c r="J122">
        <v>9</v>
      </c>
    </row>
    <row r="123" spans="1:10" x14ac:dyDescent="0.25">
      <c r="A123" t="s">
        <v>554</v>
      </c>
      <c r="B123" t="s">
        <v>555</v>
      </c>
      <c r="C123">
        <f>D11</f>
        <v>0.36645465981792591</v>
      </c>
      <c r="D123" t="s">
        <v>556</v>
      </c>
      <c r="E123" t="s">
        <v>33</v>
      </c>
      <c r="F123" t="s">
        <v>182</v>
      </c>
      <c r="G123" t="s">
        <v>324</v>
      </c>
      <c r="H123" t="s">
        <v>553</v>
      </c>
      <c r="I123" t="s">
        <v>537</v>
      </c>
      <c r="J123">
        <v>9</v>
      </c>
    </row>
    <row r="124" spans="1:10" x14ac:dyDescent="0.25">
      <c r="A124" t="s">
        <v>557</v>
      </c>
      <c r="B124" t="s">
        <v>558</v>
      </c>
      <c r="C124">
        <f>D12</f>
        <v>0.23252913467554007</v>
      </c>
      <c r="D124" t="s">
        <v>556</v>
      </c>
      <c r="E124" t="s">
        <v>310</v>
      </c>
      <c r="F124" t="s">
        <v>225</v>
      </c>
      <c r="G124" t="s">
        <v>559</v>
      </c>
      <c r="H124" t="s">
        <v>553</v>
      </c>
      <c r="I124" t="s">
        <v>537</v>
      </c>
      <c r="J124">
        <v>8</v>
      </c>
    </row>
    <row r="125" spans="1:10" x14ac:dyDescent="0.25">
      <c r="A125" t="s">
        <v>560</v>
      </c>
      <c r="B125" t="s">
        <v>561</v>
      </c>
      <c r="C125">
        <f>SQRT(3)</f>
        <v>1.7320508075688772</v>
      </c>
      <c r="D125" t="s">
        <v>545</v>
      </c>
      <c r="E125" t="s">
        <v>488</v>
      </c>
      <c r="F125" t="s">
        <v>562</v>
      </c>
      <c r="G125" t="s">
        <v>212</v>
      </c>
      <c r="H125" t="s">
        <v>25</v>
      </c>
      <c r="I125" t="s">
        <v>537</v>
      </c>
      <c r="J125">
        <v>8</v>
      </c>
    </row>
    <row r="126" spans="1:10" x14ac:dyDescent="0.25">
      <c r="A126" t="s">
        <v>563</v>
      </c>
      <c r="B126" t="s">
        <v>564</v>
      </c>
      <c r="C126">
        <f>(1+SQRT(5))/2</f>
        <v>1.6180339887498949</v>
      </c>
      <c r="D126" t="s">
        <v>565</v>
      </c>
      <c r="E126" t="s">
        <v>63</v>
      </c>
      <c r="F126" t="s">
        <v>566</v>
      </c>
      <c r="G126" t="s">
        <v>567</v>
      </c>
      <c r="H126" t="s">
        <v>568</v>
      </c>
      <c r="I126" t="s">
        <v>537</v>
      </c>
      <c r="J126">
        <v>7</v>
      </c>
    </row>
    <row r="127" spans="1:10" x14ac:dyDescent="0.25">
      <c r="A127" t="s">
        <v>569</v>
      </c>
      <c r="B127" t="s">
        <v>570</v>
      </c>
      <c r="C127">
        <f>LOG10((1/17)^100)</f>
        <v>-123.04489213782739</v>
      </c>
      <c r="D127" t="s">
        <v>571</v>
      </c>
      <c r="E127" t="s">
        <v>572</v>
      </c>
      <c r="F127" t="s">
        <v>573</v>
      </c>
      <c r="G127" t="s">
        <v>574</v>
      </c>
      <c r="H127" t="s">
        <v>353</v>
      </c>
      <c r="I127" t="s">
        <v>575</v>
      </c>
      <c r="J127">
        <v>7</v>
      </c>
    </row>
    <row r="128" spans="1:10" x14ac:dyDescent="0.25">
      <c r="A128" t="s">
        <v>576</v>
      </c>
      <c r="B128" t="s">
        <v>577</v>
      </c>
      <c r="C128">
        <f>3/5</f>
        <v>0.6</v>
      </c>
      <c r="D128" t="s">
        <v>565</v>
      </c>
      <c r="E128" t="s">
        <v>578</v>
      </c>
      <c r="F128" t="s">
        <v>63</v>
      </c>
      <c r="G128" t="s">
        <v>579</v>
      </c>
      <c r="H128" t="s">
        <v>580</v>
      </c>
      <c r="I128" t="s">
        <v>537</v>
      </c>
      <c r="J128">
        <v>8</v>
      </c>
    </row>
    <row r="129" spans="1:10" x14ac:dyDescent="0.25">
      <c r="A129" s="7"/>
      <c r="B129" t="s">
        <v>581</v>
      </c>
      <c r="I129" t="s">
        <v>186</v>
      </c>
      <c r="J129">
        <v>8</v>
      </c>
    </row>
    <row r="131" spans="1:10" x14ac:dyDescent="0.25">
      <c r="A131" s="12" t="s">
        <v>582</v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13" t="s">
        <v>51</v>
      </c>
      <c r="B132" s="13" t="s">
        <v>583</v>
      </c>
      <c r="C132" s="13" t="s">
        <v>584</v>
      </c>
      <c r="D132" s="13" t="s">
        <v>585</v>
      </c>
      <c r="E132" s="13" t="s">
        <v>586</v>
      </c>
      <c r="F132" s="13" t="s">
        <v>587</v>
      </c>
      <c r="G132" s="13" t="s">
        <v>588</v>
      </c>
      <c r="H132" s="13" t="s">
        <v>589</v>
      </c>
      <c r="I132" s="13" t="s">
        <v>590</v>
      </c>
      <c r="J132" s="13" t="s">
        <v>9</v>
      </c>
    </row>
    <row r="133" spans="1:10" x14ac:dyDescent="0.25">
      <c r="A133" t="s">
        <v>591</v>
      </c>
      <c r="B133" t="s">
        <v>592</v>
      </c>
      <c r="C133" t="s">
        <v>593</v>
      </c>
      <c r="D133" t="s">
        <v>594</v>
      </c>
      <c r="E133" t="s">
        <v>95</v>
      </c>
      <c r="F133" t="s">
        <v>122</v>
      </c>
      <c r="G133" t="s">
        <v>301</v>
      </c>
      <c r="H133" t="s">
        <v>595</v>
      </c>
      <c r="I133" t="s">
        <v>596</v>
      </c>
      <c r="J133" t="s">
        <v>597</v>
      </c>
    </row>
    <row r="134" spans="1:10" x14ac:dyDescent="0.25">
      <c r="A134" t="s">
        <v>598</v>
      </c>
      <c r="B134" t="s">
        <v>599</v>
      </c>
      <c r="C134" t="s">
        <v>600</v>
      </c>
      <c r="D134" t="s">
        <v>601</v>
      </c>
      <c r="E134" t="s">
        <v>95</v>
      </c>
      <c r="F134" t="s">
        <v>241</v>
      </c>
      <c r="G134" t="s">
        <v>75</v>
      </c>
      <c r="H134" t="s">
        <v>602</v>
      </c>
      <c r="I134" t="s">
        <v>601</v>
      </c>
      <c r="J134" t="s">
        <v>304</v>
      </c>
    </row>
    <row r="135" spans="1:10" x14ac:dyDescent="0.25">
      <c r="A135" t="s">
        <v>603</v>
      </c>
      <c r="B135" t="s">
        <v>604</v>
      </c>
      <c r="C135" t="s">
        <v>605</v>
      </c>
      <c r="D135" t="s">
        <v>601</v>
      </c>
      <c r="E135" t="s">
        <v>606</v>
      </c>
      <c r="F135" t="s">
        <v>95</v>
      </c>
      <c r="G135" t="s">
        <v>294</v>
      </c>
      <c r="H135" t="s">
        <v>607</v>
      </c>
      <c r="I135" t="s">
        <v>601</v>
      </c>
      <c r="J135" t="s">
        <v>304</v>
      </c>
    </row>
    <row r="136" spans="1:10" x14ac:dyDescent="0.25">
      <c r="A136" t="s">
        <v>608</v>
      </c>
      <c r="B136" t="s">
        <v>313</v>
      </c>
      <c r="C136" t="s">
        <v>609</v>
      </c>
      <c r="D136" t="s">
        <v>594</v>
      </c>
      <c r="E136" t="s">
        <v>128</v>
      </c>
      <c r="F136" t="s">
        <v>228</v>
      </c>
      <c r="G136" t="s">
        <v>312</v>
      </c>
      <c r="H136" t="s">
        <v>610</v>
      </c>
      <c r="I136" t="s">
        <v>594</v>
      </c>
      <c r="J136" t="s">
        <v>611</v>
      </c>
    </row>
    <row r="137" spans="1:10" x14ac:dyDescent="0.25">
      <c r="A137" t="s">
        <v>612</v>
      </c>
      <c r="B137" t="s">
        <v>319</v>
      </c>
      <c r="C137" t="s">
        <v>613</v>
      </c>
      <c r="D137" t="s">
        <v>594</v>
      </c>
      <c r="E137" t="s">
        <v>128</v>
      </c>
      <c r="F137" t="s">
        <v>228</v>
      </c>
      <c r="G137" t="s">
        <v>318</v>
      </c>
      <c r="H137" t="s">
        <v>614</v>
      </c>
      <c r="I137" t="s">
        <v>594</v>
      </c>
      <c r="J137" t="s">
        <v>615</v>
      </c>
    </row>
    <row r="138" spans="1:10" x14ac:dyDescent="0.25">
      <c r="A138" t="s">
        <v>616</v>
      </c>
      <c r="B138" t="s">
        <v>617</v>
      </c>
      <c r="C138" t="s">
        <v>618</v>
      </c>
      <c r="D138" t="s">
        <v>601</v>
      </c>
      <c r="E138" t="s">
        <v>109</v>
      </c>
      <c r="F138" t="s">
        <v>114</v>
      </c>
      <c r="G138" t="s">
        <v>321</v>
      </c>
      <c r="H138" t="s">
        <v>619</v>
      </c>
      <c r="I138" t="s">
        <v>601</v>
      </c>
      <c r="J138" t="s">
        <v>615</v>
      </c>
    </row>
    <row r="139" spans="1:10" x14ac:dyDescent="0.25">
      <c r="A139" t="s">
        <v>620</v>
      </c>
      <c r="B139" t="s">
        <v>621</v>
      </c>
      <c r="C139" t="s">
        <v>622</v>
      </c>
      <c r="D139" t="s">
        <v>623</v>
      </c>
      <c r="E139" t="s">
        <v>123</v>
      </c>
      <c r="F139" t="s">
        <v>127</v>
      </c>
      <c r="G139" t="s">
        <v>327</v>
      </c>
      <c r="H139" t="s">
        <v>624</v>
      </c>
      <c r="I139" t="s">
        <v>623</v>
      </c>
      <c r="J139" t="s">
        <v>611</v>
      </c>
    </row>
    <row r="140" spans="1:10" x14ac:dyDescent="0.25">
      <c r="A140" t="s">
        <v>625</v>
      </c>
      <c r="B140" t="s">
        <v>626</v>
      </c>
      <c r="C140" t="s">
        <v>627</v>
      </c>
      <c r="D140" t="s">
        <v>601</v>
      </c>
      <c r="E140" t="s">
        <v>136</v>
      </c>
      <c r="F140" t="s">
        <v>127</v>
      </c>
      <c r="G140" t="s">
        <v>330</v>
      </c>
      <c r="H140" t="s">
        <v>624</v>
      </c>
      <c r="I140" t="s">
        <v>601</v>
      </c>
      <c r="J140" t="s">
        <v>615</v>
      </c>
    </row>
    <row r="141" spans="1:10" x14ac:dyDescent="0.25">
      <c r="A141" t="s">
        <v>628</v>
      </c>
      <c r="B141" t="s">
        <v>629</v>
      </c>
      <c r="C141" t="s">
        <v>630</v>
      </c>
      <c r="D141" t="s">
        <v>601</v>
      </c>
      <c r="E141" t="s">
        <v>109</v>
      </c>
      <c r="F141" t="s">
        <v>114</v>
      </c>
      <c r="G141" t="s">
        <v>335</v>
      </c>
      <c r="H141" t="s">
        <v>358</v>
      </c>
      <c r="I141" t="s">
        <v>601</v>
      </c>
      <c r="J141" t="s">
        <v>611</v>
      </c>
    </row>
    <row r="142" spans="1:10" x14ac:dyDescent="0.25">
      <c r="A142" t="s">
        <v>631</v>
      </c>
      <c r="B142" t="s">
        <v>632</v>
      </c>
      <c r="C142" t="s">
        <v>633</v>
      </c>
      <c r="D142" t="s">
        <v>594</v>
      </c>
      <c r="E142" t="s">
        <v>95</v>
      </c>
      <c r="F142" t="s">
        <v>95</v>
      </c>
      <c r="G142" t="s">
        <v>634</v>
      </c>
      <c r="H142" t="s">
        <v>635</v>
      </c>
      <c r="I142" t="s">
        <v>636</v>
      </c>
      <c r="J142" t="s">
        <v>637</v>
      </c>
    </row>
    <row r="143" spans="1:10" x14ac:dyDescent="0.25">
      <c r="A143" s="7"/>
      <c r="B143" t="s">
        <v>638</v>
      </c>
      <c r="C143">
        <f>COUNTIF(J133:J142,"ACIK")+COUNTIF(J133:J142,"EKSIK")</f>
        <v>4</v>
      </c>
    </row>
    <row r="145" spans="1:10" x14ac:dyDescent="0.25">
      <c r="A145" s="8" t="s">
        <v>639</v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1" t="s">
        <v>640</v>
      </c>
      <c r="B146" s="21" t="s">
        <v>641</v>
      </c>
      <c r="C146" s="21" t="s">
        <v>642</v>
      </c>
      <c r="D146" s="21" t="s">
        <v>643</v>
      </c>
      <c r="E146" s="21" t="s">
        <v>644</v>
      </c>
      <c r="F146" s="21" t="s">
        <v>645</v>
      </c>
      <c r="G146" s="21" t="s">
        <v>9</v>
      </c>
      <c r="H146" s="21" t="s">
        <v>371</v>
      </c>
      <c r="I146" s="21" t="s">
        <v>372</v>
      </c>
      <c r="J146" s="21" t="s">
        <v>583</v>
      </c>
    </row>
    <row r="147" spans="1:10" x14ac:dyDescent="0.25">
      <c r="A147" t="s">
        <v>646</v>
      </c>
      <c r="B147">
        <v>85</v>
      </c>
      <c r="C147">
        <v>83.6</v>
      </c>
      <c r="D147">
        <v>-1.4</v>
      </c>
      <c r="E147">
        <v>100</v>
      </c>
      <c r="F147">
        <v>16.399999999999999</v>
      </c>
      <c r="G147" t="str">
        <f>IF(F147&lt;=5,"OK","EKSIK")</f>
        <v>EKSIK</v>
      </c>
      <c r="H147" t="s">
        <v>60</v>
      </c>
      <c r="I147" t="s">
        <v>60</v>
      </c>
      <c r="J147" t="s">
        <v>95</v>
      </c>
    </row>
    <row r="148" spans="1:10" x14ac:dyDescent="0.25">
      <c r="A148" t="s">
        <v>647</v>
      </c>
      <c r="B148">
        <v>70</v>
      </c>
      <c r="C148">
        <v>71.3</v>
      </c>
      <c r="D148">
        <v>1.3</v>
      </c>
      <c r="E148">
        <v>100</v>
      </c>
      <c r="F148">
        <v>28.7</v>
      </c>
      <c r="G148" t="str">
        <f>IF(F148&lt;=30,"OK","EKSIK")</f>
        <v>OK</v>
      </c>
      <c r="H148" t="s">
        <v>60</v>
      </c>
      <c r="I148" t="s">
        <v>149</v>
      </c>
      <c r="J148" t="s">
        <v>409</v>
      </c>
    </row>
    <row r="149" spans="1:10" x14ac:dyDescent="0.25">
      <c r="A149" t="s">
        <v>648</v>
      </c>
      <c r="B149">
        <v>68</v>
      </c>
      <c r="C149">
        <v>65.3</v>
      </c>
      <c r="D149">
        <v>-2.7</v>
      </c>
      <c r="E149">
        <v>85</v>
      </c>
      <c r="F149">
        <v>19.7</v>
      </c>
      <c r="G149" t="str">
        <f>IF(F149&lt;=20,"OK","EKSIK")</f>
        <v>OK</v>
      </c>
      <c r="H149" t="s">
        <v>60</v>
      </c>
      <c r="I149" t="s">
        <v>149</v>
      </c>
      <c r="J149" t="s">
        <v>286</v>
      </c>
    </row>
    <row r="150" spans="1:10" x14ac:dyDescent="0.25">
      <c r="A150" t="s">
        <v>649</v>
      </c>
      <c r="B150">
        <v>50</v>
      </c>
      <c r="C150">
        <v>64.7</v>
      </c>
      <c r="D150">
        <v>14.7</v>
      </c>
      <c r="E150">
        <v>80</v>
      </c>
      <c r="F150">
        <v>15.3</v>
      </c>
      <c r="G150" t="str">
        <f>IF(F150&lt;=30,"OK","EKSIK")</f>
        <v>OK</v>
      </c>
      <c r="H150" t="s">
        <v>149</v>
      </c>
      <c r="I150" t="s">
        <v>149</v>
      </c>
      <c r="J150" t="s">
        <v>650</v>
      </c>
    </row>
    <row r="151" spans="1:10" x14ac:dyDescent="0.25">
      <c r="A151" t="s">
        <v>651</v>
      </c>
      <c r="B151">
        <v>48</v>
      </c>
      <c r="C151">
        <v>57</v>
      </c>
      <c r="D151">
        <v>9</v>
      </c>
      <c r="E151">
        <v>70</v>
      </c>
      <c r="F151">
        <v>13</v>
      </c>
      <c r="G151" t="str">
        <f>IF(F151&lt;=20,"OK","EKSIK")</f>
        <v>OK</v>
      </c>
      <c r="H151" t="s">
        <v>60</v>
      </c>
      <c r="I151" t="s">
        <v>95</v>
      </c>
      <c r="J151" t="s">
        <v>95</v>
      </c>
    </row>
    <row r="152" spans="1:10" x14ac:dyDescent="0.25">
      <c r="A152" t="s">
        <v>652</v>
      </c>
      <c r="B152">
        <v>45</v>
      </c>
      <c r="C152">
        <v>47</v>
      </c>
      <c r="D152">
        <v>2</v>
      </c>
      <c r="E152">
        <v>70</v>
      </c>
      <c r="F152">
        <v>23</v>
      </c>
      <c r="G152" t="str">
        <f>IF(F152&lt;=25,"OK","EKSIK")</f>
        <v>OK</v>
      </c>
      <c r="H152" t="s">
        <v>95</v>
      </c>
      <c r="I152" t="s">
        <v>149</v>
      </c>
      <c r="J152" t="s">
        <v>653</v>
      </c>
    </row>
    <row r="153" spans="1:10" x14ac:dyDescent="0.25">
      <c r="A153" t="s">
        <v>654</v>
      </c>
      <c r="B153">
        <v>60</v>
      </c>
      <c r="C153">
        <v>80</v>
      </c>
      <c r="D153">
        <v>20</v>
      </c>
      <c r="E153">
        <v>90</v>
      </c>
      <c r="F153">
        <v>10</v>
      </c>
      <c r="G153" t="str">
        <f>IF(F153&lt;=10,"OK","EKSIK")</f>
        <v>OK</v>
      </c>
      <c r="H153" t="s">
        <v>60</v>
      </c>
      <c r="I153" t="s">
        <v>60</v>
      </c>
      <c r="J153" t="s">
        <v>95</v>
      </c>
    </row>
    <row r="154" spans="1:10" x14ac:dyDescent="0.25">
      <c r="A154" t="s">
        <v>351</v>
      </c>
      <c r="B154">
        <v>25</v>
      </c>
      <c r="C154">
        <v>35</v>
      </c>
      <c r="D154">
        <v>10</v>
      </c>
      <c r="E154">
        <v>100</v>
      </c>
      <c r="F154">
        <v>65</v>
      </c>
      <c r="G154" t="str">
        <f>IF(F154&lt;=65,"KISMI","KRITIK")</f>
        <v>KISMI</v>
      </c>
      <c r="H154" t="s">
        <v>149</v>
      </c>
      <c r="I154" t="s">
        <v>149</v>
      </c>
      <c r="J154" t="s">
        <v>655</v>
      </c>
    </row>
    <row r="155" spans="1:10" x14ac:dyDescent="0.25">
      <c r="A155" t="s">
        <v>656</v>
      </c>
      <c r="B155">
        <v>30</v>
      </c>
      <c r="C155">
        <v>30</v>
      </c>
      <c r="D155">
        <v>0</v>
      </c>
      <c r="E155">
        <v>80</v>
      </c>
      <c r="F155">
        <v>50</v>
      </c>
      <c r="G155" t="str">
        <f>IF(F155&lt;=50,"BEKLE","KRITIK")</f>
        <v>BEKLE</v>
      </c>
      <c r="H155" t="s">
        <v>95</v>
      </c>
      <c r="I155" t="s">
        <v>95</v>
      </c>
      <c r="J155" t="s">
        <v>657</v>
      </c>
    </row>
    <row r="156" spans="1:10" x14ac:dyDescent="0.25">
      <c r="A156" s="22" t="s">
        <v>658</v>
      </c>
      <c r="B156" s="7">
        <v>53.4</v>
      </c>
      <c r="C156" s="7">
        <v>59.3</v>
      </c>
      <c r="D156" s="7">
        <v>5.9</v>
      </c>
      <c r="E156" s="7">
        <v>86.1</v>
      </c>
      <c r="F156" s="7">
        <v>26.8</v>
      </c>
      <c r="G156" s="7" t="s">
        <v>659</v>
      </c>
      <c r="H156" s="7"/>
      <c r="I156" s="7"/>
      <c r="J156" s="7"/>
    </row>
    <row r="158" spans="1:10" x14ac:dyDescent="0.25">
      <c r="A158" s="23" t="s">
        <v>660</v>
      </c>
      <c r="B158" s="2"/>
      <c r="C158" s="2"/>
      <c r="D158" s="2"/>
      <c r="E158" s="2"/>
      <c r="F158" s="2"/>
      <c r="G158" s="2"/>
      <c r="H158" s="2"/>
      <c r="I158" s="2"/>
      <c r="J158" s="2"/>
    </row>
    <row r="160" spans="1:10" x14ac:dyDescent="0.25">
      <c r="A160" s="22" t="s">
        <v>661</v>
      </c>
    </row>
    <row r="161" spans="1:10" x14ac:dyDescent="0.25">
      <c r="A161">
        <v>1</v>
      </c>
      <c r="B161" t="s">
        <v>662</v>
      </c>
      <c r="C161" t="s">
        <v>663</v>
      </c>
      <c r="J161" t="s">
        <v>60</v>
      </c>
    </row>
    <row r="162" spans="1:10" x14ac:dyDescent="0.25">
      <c r="A162">
        <v>2</v>
      </c>
      <c r="B162" t="s">
        <v>664</v>
      </c>
      <c r="C162" t="s">
        <v>665</v>
      </c>
      <c r="J162" t="s">
        <v>60</v>
      </c>
    </row>
    <row r="163" spans="1:10" x14ac:dyDescent="0.25">
      <c r="A163">
        <v>3</v>
      </c>
      <c r="B163" t="s">
        <v>666</v>
      </c>
      <c r="C163" t="s">
        <v>667</v>
      </c>
      <c r="J163" t="s">
        <v>60</v>
      </c>
    </row>
    <row r="164" spans="1:10" x14ac:dyDescent="0.25">
      <c r="A164">
        <v>4</v>
      </c>
      <c r="B164" t="s">
        <v>668</v>
      </c>
      <c r="C164" t="s">
        <v>669</v>
      </c>
      <c r="J164" t="s">
        <v>60</v>
      </c>
    </row>
    <row r="165" spans="1:10" x14ac:dyDescent="0.25">
      <c r="A165">
        <v>5</v>
      </c>
      <c r="B165" t="s">
        <v>670</v>
      </c>
      <c r="C165" t="s">
        <v>671</v>
      </c>
      <c r="J165" t="s">
        <v>354</v>
      </c>
    </row>
    <row r="167" spans="1:10" x14ac:dyDescent="0.25">
      <c r="A167" s="24" t="s">
        <v>672</v>
      </c>
    </row>
    <row r="168" spans="1:10" x14ac:dyDescent="0.25">
      <c r="A168">
        <v>1</v>
      </c>
      <c r="B168" t="s">
        <v>673</v>
      </c>
      <c r="C168" t="s">
        <v>674</v>
      </c>
      <c r="J168" t="s">
        <v>594</v>
      </c>
    </row>
    <row r="169" spans="1:10" x14ac:dyDescent="0.25">
      <c r="A169">
        <v>2</v>
      </c>
      <c r="B169" t="s">
        <v>675</v>
      </c>
      <c r="C169" t="s">
        <v>676</v>
      </c>
      <c r="J169" t="s">
        <v>594</v>
      </c>
    </row>
    <row r="170" spans="1:10" x14ac:dyDescent="0.25">
      <c r="A170">
        <v>3</v>
      </c>
      <c r="B170" t="s">
        <v>677</v>
      </c>
      <c r="C170" t="s">
        <v>678</v>
      </c>
      <c r="J170" t="s">
        <v>601</v>
      </c>
    </row>
    <row r="171" spans="1:10" x14ac:dyDescent="0.25">
      <c r="A171">
        <v>4</v>
      </c>
      <c r="B171" t="s">
        <v>679</v>
      </c>
      <c r="C171" t="s">
        <v>680</v>
      </c>
      <c r="J171" t="s">
        <v>601</v>
      </c>
    </row>
    <row r="172" spans="1:10" x14ac:dyDescent="0.25">
      <c r="A172">
        <v>5</v>
      </c>
      <c r="B172" t="s">
        <v>681</v>
      </c>
      <c r="C172" t="s">
        <v>682</v>
      </c>
      <c r="J172" t="s">
        <v>601</v>
      </c>
    </row>
    <row r="173" spans="1:10" x14ac:dyDescent="0.25">
      <c r="A173">
        <v>6</v>
      </c>
      <c r="B173" t="s">
        <v>683</v>
      </c>
      <c r="C173" t="s">
        <v>684</v>
      </c>
      <c r="J173" t="s">
        <v>637</v>
      </c>
    </row>
    <row r="175" spans="1:10" x14ac:dyDescent="0.25">
      <c r="A175" s="25" t="s">
        <v>685</v>
      </c>
    </row>
    <row r="176" spans="1:10" x14ac:dyDescent="0.25">
      <c r="A176" t="s">
        <v>686</v>
      </c>
    </row>
    <row r="177" spans="1:3" x14ac:dyDescent="0.25">
      <c r="A177" t="s">
        <v>687</v>
      </c>
    </row>
    <row r="178" spans="1:3" x14ac:dyDescent="0.25">
      <c r="A178" t="s">
        <v>688</v>
      </c>
    </row>
    <row r="179" spans="1:3" x14ac:dyDescent="0.25">
      <c r="A179" t="s">
        <v>689</v>
      </c>
    </row>
    <row r="181" spans="1:3" ht="18.75" x14ac:dyDescent="0.3">
      <c r="A181" s="26" t="s">
        <v>690</v>
      </c>
      <c r="B181">
        <v>59.3</v>
      </c>
      <c r="C181" t="s">
        <v>691</v>
      </c>
    </row>
  </sheetData>
  <mergeCells count="15">
    <mergeCell ref="A131:J131"/>
    <mergeCell ref="A145:J145"/>
    <mergeCell ref="A158:J158"/>
    <mergeCell ref="A63:J63"/>
    <mergeCell ref="A82:N82"/>
    <mergeCell ref="A101:J101"/>
    <mergeCell ref="A103:E103"/>
    <mergeCell ref="F103:J103"/>
    <mergeCell ref="A117:J117"/>
    <mergeCell ref="A1:N1"/>
    <mergeCell ref="A2:N2"/>
    <mergeCell ref="A4:G4"/>
    <mergeCell ref="A17:G17"/>
    <mergeCell ref="A26:J26"/>
    <mergeCell ref="A44:J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UST-Tam Sentez 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2026-04-23T11:00:28Z</dcterms:created>
  <dcterms:modified xsi:type="dcterms:W3CDTF">2026-04-23T11:00:28Z</dcterms:modified>
</cp:coreProperties>
</file>