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CC6138BD-34FF-42F3-A0EB-7DDC3F06C04E}" xr6:coauthVersionLast="47" xr6:coauthVersionMax="47" xr10:uidLastSave="{00000000-0000-0000-0000-000000000000}"/>
  <bookViews>
    <workbookView xWindow="-120" yWindow="-120" windowWidth="29040" windowHeight="15720" xr2:uid="{A653A809-709C-4863-BD5F-E22CB469B38C}"/>
  </bookViews>
  <sheets>
    <sheet name="UST Tam Anal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16" i="1" l="1"/>
  <c r="B116" i="1"/>
  <c r="F116" i="1" s="1"/>
  <c r="B115" i="1"/>
  <c r="C115" i="1" s="1"/>
  <c r="B114" i="1"/>
  <c r="F113" i="1"/>
  <c r="E113" i="1"/>
  <c r="H113" i="1" s="1"/>
  <c r="D113" i="1"/>
  <c r="B113" i="1"/>
  <c r="C113" i="1" s="1"/>
  <c r="B112" i="1"/>
  <c r="C112" i="1" s="1"/>
  <c r="F111" i="1"/>
  <c r="D111" i="1"/>
  <c r="C111" i="1"/>
  <c r="B111" i="1"/>
  <c r="E111" i="1" s="1"/>
  <c r="H111" i="1" s="1"/>
  <c r="B110" i="1"/>
  <c r="G110" i="1" s="1"/>
  <c r="D97" i="1"/>
  <c r="C11" i="1"/>
  <c r="C12" i="1" s="1"/>
  <c r="C13" i="1" s="1"/>
  <c r="C10" i="1"/>
  <c r="C9" i="1"/>
  <c r="C7" i="1"/>
  <c r="C6" i="1"/>
  <c r="C15" i="1" s="1"/>
  <c r="G116" i="1" l="1"/>
  <c r="G113" i="1"/>
  <c r="G111" i="1"/>
  <c r="G114" i="1"/>
  <c r="C110" i="1"/>
  <c r="D115" i="1"/>
  <c r="E115" i="1"/>
  <c r="H115" i="1" s="1"/>
  <c r="F115" i="1"/>
  <c r="G115" i="1"/>
  <c r="D114" i="1"/>
  <c r="D110" i="1"/>
  <c r="E110" i="1"/>
  <c r="H110" i="1" s="1"/>
  <c r="F110" i="1"/>
  <c r="D112" i="1"/>
  <c r="E112" i="1"/>
  <c r="C114" i="1"/>
  <c r="F112" i="1"/>
  <c r="G112" i="1"/>
  <c r="E114" i="1"/>
  <c r="D116" i="1"/>
  <c r="E116" i="1"/>
  <c r="H116" i="1" s="1"/>
  <c r="F114" i="1"/>
  <c r="C14" i="1"/>
  <c r="H114" i="1" l="1"/>
  <c r="H112" i="1"/>
</calcChain>
</file>

<file path=xl/sharedStrings.xml><?xml version="1.0" encoding="utf-8"?>
<sst xmlns="http://schemas.openxmlformats.org/spreadsheetml/2006/main" count="710" uniqueCount="536">
  <si>
    <t>🔬 UST v5: GR-QFT BİRLEŞİK TEORİ - RELATİVİSTİK KÜTLE ANALİZİ</t>
  </si>
  <si>
    <t>17-Boyutlu Yapı (Q₁₆ ⊔ O₁) + Relativistik Kütle-Enerji Entegrasyonu | 22 Nisan 2026</t>
  </si>
  <si>
    <t>📊 BÖLÜM 1: UST TEMEL PARAMETRELERİ + RELATİVİSTİK KÜTLE</t>
  </si>
  <si>
    <t>Parametre</t>
  </si>
  <si>
    <t>Sembol</t>
  </si>
  <si>
    <t>Değer</t>
  </si>
  <si>
    <t>Formül</t>
  </si>
  <si>
    <t>Relativistik</t>
  </si>
  <si>
    <t>UST Modif.</t>
  </si>
  <si>
    <t>Anlam</t>
  </si>
  <si>
    <t>Durum</t>
  </si>
  <si>
    <t>Ns,q (Köprü Katsayısı)</t>
  </si>
  <si>
    <t>Ns,q</t>
  </si>
  <si>
    <t>(3-√3)/2-α/17</t>
  </si>
  <si>
    <t>γ·Ns,q (v→c)</t>
  </si>
  <si>
    <t>Kütle artışıyla skala</t>
  </si>
  <si>
    <t>Makro-mikro kilidi</t>
  </si>
  <si>
    <t>✅</t>
  </si>
  <si>
    <t>İnce Yapı Sabiti</t>
  </si>
  <si>
    <t>α</t>
  </si>
  <si>
    <t>e²/(4πε₀ℏc)</t>
  </si>
  <si>
    <t>Sabit (boyutsuz)</t>
  </si>
  <si>
    <t>Değişmez</t>
  </si>
  <si>
    <t>EM etkileşim gücü</t>
  </si>
  <si>
    <t>Serbestlik Derecesi</t>
  </si>
  <si>
    <t>DOF</t>
  </si>
  <si>
    <t>4D Dirac (4×4+1)</t>
  </si>
  <si>
    <t>17 boyut korunur</t>
  </si>
  <si>
    <t>F = Q₁₆ ⊔ O₁</t>
  </si>
  <si>
    <t>Kuantum düzeltme</t>
  </si>
  <si>
    <t>Planck Uzunluğu</t>
  </si>
  <si>
    <t>lₚ</t>
  </si>
  <si>
    <t>√(ℏG/c³)</t>
  </si>
  <si>
    <t>lₚ' = lₚ/γ</t>
  </si>
  <si>
    <t>Lorentz büzülmesi</t>
  </si>
  <si>
    <t>Minimum uzunluk</t>
  </si>
  <si>
    <t>Planck Kütlesi</t>
  </si>
  <si>
    <t>mₚ</t>
  </si>
  <si>
    <t>√(ℏc/G)</t>
  </si>
  <si>
    <t>mₚ' = γ·mₚ</t>
  </si>
  <si>
    <t>Relativistik artış</t>
  </si>
  <si>
    <t>Max parçacık kütlesi</t>
  </si>
  <si>
    <t>Lorentz Faktörü (β=0.99)</t>
  </si>
  <si>
    <t>γ</t>
  </si>
  <si>
    <t>1/√(1-v²/c²)</t>
  </si>
  <si>
    <t>→ ∞ (v→c)</t>
  </si>
  <si>
    <t>UST sınırı: γmax=17?</t>
  </si>
  <si>
    <t>Zaman genişlemesi</t>
  </si>
  <si>
    <t>⚠️</t>
  </si>
  <si>
    <t>Relativistik Kütle</t>
  </si>
  <si>
    <t>m</t>
  </si>
  <si>
    <t>m₀/√(1-v²/c²)</t>
  </si>
  <si>
    <t>m → ∞ (v→c)</t>
  </si>
  <si>
    <t>m·(1+Ns,q/17)</t>
  </si>
  <si>
    <t>Hareket kütlesi</t>
  </si>
  <si>
    <t>Toplam Enerji</t>
  </si>
  <si>
    <t>E</t>
  </si>
  <si>
    <t>γm₀c²</t>
  </si>
  <si>
    <t>E → ∞ (v→c)</t>
  </si>
  <si>
    <t>E·(1-Ccb)</t>
  </si>
  <si>
    <t>Relativistik enerji</t>
  </si>
  <si>
    <t>Omnium Tünel Genliği</t>
  </si>
  <si>
    <t>TOm</t>
  </si>
  <si>
    <t>e^(-2π·Nb·Ccb)</t>
  </si>
  <si>
    <t>TOm' = TOm/γ</t>
  </si>
  <si>
    <t>Tünel olasılığı azalır</t>
  </si>
  <si>
    <t>Q→C kanal geçişi</t>
  </si>
  <si>
    <t>Kanal C Bağlantısı</t>
  </si>
  <si>
    <t>Ccb</t>
  </si>
  <si>
    <t>1 - Nb</t>
  </si>
  <si>
    <t>Sabit</t>
  </si>
  <si>
    <t>Arşiv bilgi yoğunluğu</t>
  </si>
  <si>
    <t>Dondurulmuş arka plan</t>
  </si>
  <si>
    <t>🚀 BÖLÜM 2: RELATİVİSTİK KÜTLE + UST DENKLEMLERİ</t>
  </si>
  <si>
    <t>#</t>
  </si>
  <si>
    <t>Denklem Adı</t>
  </si>
  <si>
    <t>Klasik Formül</t>
  </si>
  <si>
    <t>UST Modifikasyonu</t>
  </si>
  <si>
    <t>17-Boyut Katkısı</t>
  </si>
  <si>
    <t>Fiziksel Yorum</t>
  </si>
  <si>
    <t>Test</t>
  </si>
  <si>
    <t>Einstein Kütle-Enerji</t>
  </si>
  <si>
    <t>E = mc²</t>
  </si>
  <si>
    <t>E = mc²·(1-α/17)</t>
  </si>
  <si>
    <t>Tr₁₇ düzeltmesi</t>
  </si>
  <si>
    <t>17-boyut enerji kaybı</t>
  </si>
  <si>
    <t>LHC</t>
  </si>
  <si>
    <t>m = m₀γ</t>
  </si>
  <si>
    <t>m = m₀γ·(1+Ns,q·γ/17)</t>
  </si>
  <si>
    <t>Yüksek γ'da Ns,q belirgin</t>
  </si>
  <si>
    <t>Omnium kütle katkısı</t>
  </si>
  <si>
    <t>Yüksek enerji</t>
  </si>
  <si>
    <t>Enerji-Momentum</t>
  </si>
  <si>
    <t>E²=(pc)²+(m₀c²)²</t>
  </si>
  <si>
    <t>E²=(pc)²+(m₀c²)²·(1-Ccb²)</t>
  </si>
  <si>
    <t>Ccb²=0.134 düzeltme</t>
  </si>
  <si>
    <t>Kanal C enerji deposu</t>
  </si>
  <si>
    <t>Kozmik ışın</t>
  </si>
  <si>
    <t>Lorentz Büzülmesi</t>
  </si>
  <si>
    <t>L = L₀/γ</t>
  </si>
  <si>
    <t>L = L₀/γ·(1+lₚ·γ/L₀)</t>
  </si>
  <si>
    <t>Planck ölçeği sapması</t>
  </si>
  <si>
    <t>Min uzunluk sınırı</t>
  </si>
  <si>
    <t>Çarpışma</t>
  </si>
  <si>
    <t>❌</t>
  </si>
  <si>
    <t>Zaman Genişlemesi</t>
  </si>
  <si>
    <t>Δt = γΔt₀</t>
  </si>
  <si>
    <t>Δt = γΔt₀·(1-TOm·γ)</t>
  </si>
  <si>
    <t>Tünel etki zamanı</t>
  </si>
  <si>
    <t>Omnium yavaşlatma</t>
  </si>
  <si>
    <t>Muon ömrü</t>
  </si>
  <si>
    <t>Schwarzschild + v</t>
  </si>
  <si>
    <t>rs = 2GM/c²</t>
  </si>
  <si>
    <t>rs(v)=2GM/(c²-v²)·(1+Ns,q)</t>
  </si>
  <si>
    <t>Hız etkili olay ufku</t>
  </si>
  <si>
    <t>Relativistik KD</t>
  </si>
  <si>
    <t>X-ray ikili</t>
  </si>
  <si>
    <t>Hawking Sıcaklığı + v</t>
  </si>
  <si>
    <t>TH=ℏc³/(8πGMkB)</t>
  </si>
  <si>
    <t>TH(v)=TH·γ·(1-Ns,q)</t>
  </si>
  <si>
    <t>Hareket eden KD sıcak</t>
  </si>
  <si>
    <t>Relativistik Hawking</t>
  </si>
  <si>
    <t>Teorik</t>
  </si>
  <si>
    <t>Dirac Relativistik</t>
  </si>
  <si>
    <t>iγμ∂μψ = mψ</t>
  </si>
  <si>
    <t>iγμ∂μψ=m·(1+Ns,q/17)ψ</t>
  </si>
  <si>
    <t>17-boyut kütle düzelt</t>
  </si>
  <si>
    <t>UST Dirac denklemi</t>
  </si>
  <si>
    <t>Parçacık fiz.</t>
  </si>
  <si>
    <t>Compton Dalga Boyu</t>
  </si>
  <si>
    <t>λC = h/(mc)</t>
  </si>
  <si>
    <t>λC=h/(mc)·(1+Ns,q/17)</t>
  </si>
  <si>
    <t>Daha uzun dalga</t>
  </si>
  <si>
    <t>Kuantum boyut etkisi</t>
  </si>
  <si>
    <t>X-ışını saçılma</t>
  </si>
  <si>
    <t>de Broglie Dalga</t>
  </si>
  <si>
    <t>λdB = h/(γm₀v)</t>
  </si>
  <si>
    <t>λdB=h/(γm₀v)·(1-TOm)</t>
  </si>
  <si>
    <t>Tünel azaltması</t>
  </si>
  <si>
    <t>Dalga-parçacık UST</t>
  </si>
  <si>
    <t>Elektron kırınım</t>
  </si>
  <si>
    <t>🔢 BÖLÜM 3: 17-BOYUT YAPISI (F = Q₁₆ ⊔ O₁) MATEMATİKSEL ANALİZ</t>
  </si>
  <si>
    <t>Özellik</t>
  </si>
  <si>
    <t>Matematiksel Köken</t>
  </si>
  <si>
    <t>Fiziksel Karşılık</t>
  </si>
  <si>
    <t>UST Rolü</t>
  </si>
  <si>
    <t>GR Bağlantısı</t>
  </si>
  <si>
    <t>QFT Bağlantısı</t>
  </si>
  <si>
    <t>Doğrulama</t>
  </si>
  <si>
    <t>17 = 7. Asal</t>
  </si>
  <si>
    <t>Asal sayı dizisi</t>
  </si>
  <si>
    <t>Temel yapı taşı</t>
  </si>
  <si>
    <t>DOF sayısı</t>
  </si>
  <si>
    <t>Einstein bileşeni</t>
  </si>
  <si>
    <t>SM DOF</t>
  </si>
  <si>
    <t>17 = 2⁴+1</t>
  </si>
  <si>
    <t>Fermat asalı</t>
  </si>
  <si>
    <t>İkili simetri</t>
  </si>
  <si>
    <t>Kuantum bit</t>
  </si>
  <si>
    <t>-</t>
  </si>
  <si>
    <t>Qubit</t>
  </si>
  <si>
    <t>17 = (F7+F8)/2</t>
  </si>
  <si>
    <t>(13+21)/2</t>
  </si>
  <si>
    <t>Fibonacci ort.</t>
  </si>
  <si>
    <t>Altın oran</t>
  </si>
  <si>
    <t>φ kozmoloji</t>
  </si>
  <si>
    <t>Vakum</t>
  </si>
  <si>
    <t>Q₁₆ (Aktif)</t>
  </si>
  <si>
    <t>4×4 Dirac</t>
  </si>
  <si>
    <t>Kuantum DOF</t>
  </si>
  <si>
    <t>Kanal Q</t>
  </si>
  <si>
    <t>Tμν</t>
  </si>
  <si>
    <t>γ-matris</t>
  </si>
  <si>
    <t>O₁ (Omnium)</t>
  </si>
  <si>
    <t>Eşik durumu</t>
  </si>
  <si>
    <t>Pasif gözlemci</t>
  </si>
  <si>
    <t>Zero Element</t>
  </si>
  <si>
    <t>Sıfır nokta</t>
  </si>
  <si>
    <t>Ns,q hesabı</t>
  </si>
  <si>
    <t>Geometrik+QED</t>
  </si>
  <si>
    <t>Köprü katsayısı</t>
  </si>
  <si>
    <t>GR-QM bağ</t>
  </si>
  <si>
    <t>Gμν ölçek</t>
  </si>
  <si>
    <t>T^QM ağırlık</t>
  </si>
  <si>
    <t>a₂ = 1/17</t>
  </si>
  <si>
    <t>Seeley-DeWitt</t>
  </si>
  <si>
    <t>Isıl çekirdek</t>
  </si>
  <si>
    <t>1-loop</t>
  </si>
  <si>
    <t>Ricci</t>
  </si>
  <si>
    <t>Anomali</t>
  </si>
  <si>
    <t>Gtt = 1/4</t>
  </si>
  <si>
    <t>Maksimizasyon</t>
  </si>
  <si>
    <t>Einstein max</t>
  </si>
  <si>
    <t>Uzay-zaman sınır</t>
  </si>
  <si>
    <t>Metrik</t>
  </si>
  <si>
    <t>TOm hesabı</t>
  </si>
  <si>
    <t>WKB tünelleme</t>
  </si>
  <si>
    <t>Kanal geçiş</t>
  </si>
  <si>
    <t>Q→O geçiş</t>
  </si>
  <si>
    <t>Olay ufku</t>
  </si>
  <si>
    <t>Vakum tünel</t>
  </si>
  <si>
    <t>P(Q):P(O)=3:2</t>
  </si>
  <si>
    <t>60%:40%</t>
  </si>
  <si>
    <t>Fibonacci</t>
  </si>
  <si>
    <t>Termo denge</t>
  </si>
  <si>
    <t>ONL seviye</t>
  </si>
  <si>
    <t>Enerji dağ.</t>
  </si>
  <si>
    <t>Durum olas.</t>
  </si>
  <si>
    <t>ΔS=0 (Q↔O)</t>
  </si>
  <si>
    <t>Entropi korun</t>
  </si>
  <si>
    <t>Bilgi kaybı yok</t>
  </si>
  <si>
    <t>Unitarlik</t>
  </si>
  <si>
    <t>Bekenstein</t>
  </si>
  <si>
    <t>S-matris</t>
  </si>
  <si>
    <t>⚠️ BÖLÜM 4: KRİTİK EKSİKLİKLER - RELATİVİSTİK KÜTLE SONRASI</t>
  </si>
  <si>
    <t>Eksiklik</t>
  </si>
  <si>
    <t>Açıklama</t>
  </si>
  <si>
    <t>Neden Kritik</t>
  </si>
  <si>
    <t>Rel. Boyut</t>
  </si>
  <si>
    <t>Önerilen Formül</t>
  </si>
  <si>
    <t>Kaynak</t>
  </si>
  <si>
    <t>Öncelik</t>
  </si>
  <si>
    <t>γmax Sınırı</t>
  </si>
  <si>
    <t>Lorentz faktör UST sınırı belirsiz</t>
  </si>
  <si>
    <t>Sonsuzluk problemi</t>
  </si>
  <si>
    <t>γ→∞ nasıl?</t>
  </si>
  <si>
    <t>γmax=17 veya 1/Ns,q</t>
  </si>
  <si>
    <t>Yeni fizik</t>
  </si>
  <si>
    <t>KRİTİK</t>
  </si>
  <si>
    <t>Rel. Wheeler-DeWitt</t>
  </si>
  <si>
    <t>Yüksek hızda evren dalga fonk.</t>
  </si>
  <si>
    <t>Kozmoloji temeli</t>
  </si>
  <si>
    <t>v→c Ĥ|Ψ⟩=?</t>
  </si>
  <si>
    <t>Ĥ(γ)|Ψ⟩=γ·Ns,q·Λ|Ψ⟩</t>
  </si>
  <si>
    <t>DeWitt</t>
  </si>
  <si>
    <t>Path Integral + v</t>
  </si>
  <si>
    <t>Hareketli gözlemci QG</t>
  </si>
  <si>
    <t>Tam QG</t>
  </si>
  <si>
    <t>Z(v)=?</t>
  </si>
  <si>
    <t>Z=∫Dg e^{iγNs,qS/ℏ}</t>
  </si>
  <si>
    <t>Hawking</t>
  </si>
  <si>
    <t>Rel. Hawking</t>
  </si>
  <si>
    <t>Hareket eden KD sıcaklığı</t>
  </si>
  <si>
    <t>KD termodinamik</t>
  </si>
  <si>
    <t>TH(v) formülü</t>
  </si>
  <si>
    <t>TH(v)=γ·TH·(1-Ns,q)</t>
  </si>
  <si>
    <t>YÜKSEK</t>
  </si>
  <si>
    <t>E=mc² + 17D</t>
  </si>
  <si>
    <t>Enerji 17 boyutta</t>
  </si>
  <si>
    <t>Enerji korunumu</t>
  </si>
  <si>
    <t>Ek boyut enerji</t>
  </si>
  <si>
    <t>E=mc²·Tr₁₇[1-α/17]</t>
  </si>
  <si>
    <t>UST özgün</t>
  </si>
  <si>
    <t>Dirac + Rel UST</t>
  </si>
  <si>
    <t>Fermiyonlar yüksek hız</t>
  </si>
  <si>
    <t>Madde tanımı</t>
  </si>
  <si>
    <t>Spinör γ bağımlı</t>
  </si>
  <si>
    <t>iγμ∂μψ=m(1+Ns,qγ/17)ψ</t>
  </si>
  <si>
    <t>Dirac</t>
  </si>
  <si>
    <t>Lorentz+Planck Sınır</t>
  </si>
  <si>
    <t>lₚ'den küçük olamaz</t>
  </si>
  <si>
    <t>Min uzunluk</t>
  </si>
  <si>
    <t>L≥lₚ sınırı</t>
  </si>
  <si>
    <t>L=max(L₀/γ,lₚ(1+Ns,q))</t>
  </si>
  <si>
    <t>GUP</t>
  </si>
  <si>
    <t>Rel. Entropi</t>
  </si>
  <si>
    <t>Hareket sistemin entropisi</t>
  </si>
  <si>
    <t>2. Yasa</t>
  </si>
  <si>
    <t>S(v)=?</t>
  </si>
  <si>
    <t>S(v)=S₀/γ²·(1+TOm·γ)</t>
  </si>
  <si>
    <t>ORTA</t>
  </si>
  <si>
    <t>Momentum 17D</t>
  </si>
  <si>
    <t>p=γmv 17 boyutta</t>
  </si>
  <si>
    <t>Korunum</t>
  </si>
  <si>
    <t>pμ genişleme</t>
  </si>
  <si>
    <t>pμ=γm₀vμ·(1+Ns,q/17)</t>
  </si>
  <si>
    <t>UST</t>
  </si>
  <si>
    <t>Geodezik + γ</t>
  </si>
  <si>
    <t>Yüksek hızda yörüngeler</t>
  </si>
  <si>
    <t>Hareket denk.</t>
  </si>
  <si>
    <t>Γμαβ(γ) tanım</t>
  </si>
  <si>
    <t>Γμαβ(γ)=Γμαβ·(1-Ns,qγ/17)</t>
  </si>
  <si>
    <t>GR+UST</t>
  </si>
  <si>
    <t>Graviton + v</t>
  </si>
  <si>
    <t>Hareket eden graviton</t>
  </si>
  <si>
    <t>QG parçacığı</t>
  </si>
  <si>
    <t>⟨hh⟩(v)</t>
  </si>
  <si>
    <t>P(v)=P·(1-Ns,q²γ²k²/mp²)</t>
  </si>
  <si>
    <t>QFT</t>
  </si>
  <si>
    <t>Bilgi Paradoksu+v</t>
  </si>
  <si>
    <t>Rel. bilgi kaybı</t>
  </si>
  <si>
    <t>Hareket KD</t>
  </si>
  <si>
    <t>ΔI(v)=0 kanıtı</t>
  </si>
  <si>
    <t>17-Boyut Kanıtı</t>
  </si>
  <si>
    <t>Neden tam 17?</t>
  </si>
  <si>
    <t>Temel yapı</t>
  </si>
  <si>
    <t>Matematiksel zor.</t>
  </si>
  <si>
    <t>İspat dizisi gerekli</t>
  </si>
  <si>
    <t>Matematik</t>
  </si>
  <si>
    <t>Nb Hassas Hesap</t>
  </si>
  <si>
    <t>0.6335453402 vs 0.63354460</t>
  </si>
  <si>
    <t>Doğruluk</t>
  </si>
  <si>
    <t>%99.83 kanıt</t>
  </si>
  <si>
    <t>Seeley-DeWitt detay</t>
  </si>
  <si>
    <t>Deneysel Öngörü</t>
  </si>
  <si>
    <t>Test edilebilir tahminler</t>
  </si>
  <si>
    <t>Bilimsel yöntem</t>
  </si>
  <si>
    <t>LHC,LIGO,CMB</t>
  </si>
  <si>
    <t>Spesifik tahmin listesi</t>
  </si>
  <si>
    <t>Deneysel</t>
  </si>
  <si>
    <t>🤖 BÖLÜM 5: YZ'YE SORULACAK SORULAR - UST TAMAMLAMA KILAVUZU</t>
  </si>
  <si>
    <t>Kategori</t>
  </si>
  <si>
    <t>Soru</t>
  </si>
  <si>
    <t>Amaç</t>
  </si>
  <si>
    <t>Beklenen Çıktı</t>
  </si>
  <si>
    <t>İlgili UST Teorem</t>
  </si>
  <si>
    <t>TEMEL</t>
  </si>
  <si>
    <t>17-boyutlu yapı F=Q₁₆⊔O₁ matematiksel olarak zorunlu mudur? Alternatif boyut sayıları mümkün mü?</t>
  </si>
  <si>
    <t>17'nin tekilliğini kanıtla</t>
  </si>
  <si>
    <t>Matematiksel ispat</t>
  </si>
  <si>
    <t>Root, DOF=17</t>
  </si>
  <si>
    <t>❓</t>
  </si>
  <si>
    <t>Ns,q=(3-√3)/2-α/17=0.6335446 formülü Seeley-DeWitt ısıl çekirdeğinden nasıl türetilir?</t>
  </si>
  <si>
    <t>Köprü katsayısı kanıtı</t>
  </si>
  <si>
    <t>Adım adım türetim</t>
  </si>
  <si>
    <t>Root</t>
  </si>
  <si>
    <t>a₂=1/17 değeri QFT literatüründe kabul ediliyor mu? Kaynak ve deneysel destek nedir?</t>
  </si>
  <si>
    <t>1-loop katsayı doğrulama</t>
  </si>
  <si>
    <t>Literatür taraması</t>
  </si>
  <si>
    <t>a₂, T37</t>
  </si>
  <si>
    <t>REL.KÜTLE</t>
  </si>
  <si>
    <t>Relativistik kütle m=m₀γ formülüne UST modifikasyonu m=m₀γ(1+Ns,q·γ/17) nasıl türetilir?</t>
  </si>
  <si>
    <t>Kütle-17D bağlantısı</t>
  </si>
  <si>
    <t>Türetim formülleri</t>
  </si>
  <si>
    <t>Root, DOF</t>
  </si>
  <si>
    <t>γ→∞ limitinde UST sınırı var mı? γmax=17 veya γmax=1/Ns,q önerilerinizi değerlendir</t>
  </si>
  <si>
    <t>Sınır değer analizi</t>
  </si>
  <si>
    <t>T1, DOF</t>
  </si>
  <si>
    <t>E=mc² formülüne Tr₁₇ düzeltmesi E=mc²(1-α/17) nasıl uygulanır ve enerji korunumu sağlanır mı?</t>
  </si>
  <si>
    <t>Enerji 17D</t>
  </si>
  <si>
    <t>Korunum kanıtı</t>
  </si>
  <si>
    <t>Einstein+UST</t>
  </si>
  <si>
    <t>QG</t>
  </si>
  <si>
    <t>Wheeler-DeWitt denklemi Ĥ|Ψ⟩=0 UST çerçevesinde nasıl modifiye edilir?</t>
  </si>
  <si>
    <t>Kuantum kozmoloji</t>
  </si>
  <si>
    <t>UST WDW formülü</t>
  </si>
  <si>
    <t>Denklem 1.1</t>
  </si>
  <si>
    <t>Path integral Z=∫Dg e^{iS/ℏ} için Ns,q faktörü nasıl entegre edilir?</t>
  </si>
  <si>
    <t>Tam QG tanımı</t>
  </si>
  <si>
    <t>UST path integral</t>
  </si>
  <si>
    <t>Graviton propagatörü ⟨hμνhρσ⟩=Pμνρσ/k² UST düzeltmesi nasıl yapılır?</t>
  </si>
  <si>
    <t>UV düzeltme formülü</t>
  </si>
  <si>
    <t>T9, Root</t>
  </si>
  <si>
    <t>KD</t>
  </si>
  <si>
    <t>Hawking sıcaklığı TH=ℏc³/(8πGMkB) + Omnium düzeltmesi nasıl formüle edilir?</t>
  </si>
  <si>
    <t>TH_UST formülü</t>
  </si>
  <si>
    <t>T17, TOm</t>
  </si>
  <si>
    <t>Bekenstein entropi S=A/(4lₚ²) + TOm katkısı nasıl hesaplanır?</t>
  </si>
  <si>
    <t>Entropi formülü</t>
  </si>
  <si>
    <t>S_UST formülü</t>
  </si>
  <si>
    <t>T10, T17</t>
  </si>
  <si>
    <t>Bilgi paradoksu UST'de çözülüyor mu? ΔS=0 koşulu bunu sağlıyor mu?</t>
  </si>
  <si>
    <t>Kanıt veya çürütme</t>
  </si>
  <si>
    <t>ΔS=0</t>
  </si>
  <si>
    <t>KOZM</t>
  </si>
  <si>
    <t>Kozmolojik sabit Λ=Λₚ(Ns,q²)^(2/(1+α)) formülü 10¹²⁰ problemini gerçekten çözüyor mu?</t>
  </si>
  <si>
    <t>Λ problemi</t>
  </si>
  <si>
    <t>Sayısal doğrulama</t>
  </si>
  <si>
    <t>T8</t>
  </si>
  <si>
    <t>Karanlık madde ΩDM=TOm+Ns,q/17=0.2698 tahmini Planck verisiyle %kaç uyumlu?</t>
  </si>
  <si>
    <t>DM tahmini</t>
  </si>
  <si>
    <t>Gözlem karşılaştırma</t>
  </si>
  <si>
    <t>T16, T38</t>
  </si>
  <si>
    <t>Hubble gerilimi H_local/H_Planck=1+Nb·Ccb² açıklaması yeterli mi?</t>
  </si>
  <si>
    <t>H0 gerilimi</t>
  </si>
  <si>
    <t>Değerlendirme</t>
  </si>
  <si>
    <t>T23</t>
  </si>
  <si>
    <t>FERMİYON</t>
  </si>
  <si>
    <t>Dirac denklemi eğri uzayda iγμ(∂μ+Γμ)ψ=mψ UST modifikasyonu nasıl yapılır?</t>
  </si>
  <si>
    <t>Madde-geometri</t>
  </si>
  <si>
    <t>UST Dirac formülü</t>
  </si>
  <si>
    <t>T4, SU(3)</t>
  </si>
  <si>
    <t>SU(3) bağlantısı Ns,q/(1-Ns,q)=√3 gluon dinamiğine nasıl genişletilir?</t>
  </si>
  <si>
    <t>QCD bağlantısı</t>
  </si>
  <si>
    <t>Renk simetrisi</t>
  </si>
  <si>
    <t>T4</t>
  </si>
  <si>
    <t>TUTARLILIK</t>
  </si>
  <si>
    <t>Modified Einstein denklemi Gμν+Λgμν=(8πG/c⁴)Ns,q·T^QM_μν tutarlı mı? Bianchi özdeşliği sağlanıyor mu?</t>
  </si>
  <si>
    <t>Korunum kontrolü</t>
  </si>
  <si>
    <t>∇μ analizi</t>
  </si>
  <si>
    <t>Modifiye Bianchi ∇μ(Gμν+Λgμν+ℏQμν)=0 için Qμν tensörü tanımlı mı?</t>
  </si>
  <si>
    <t>Qμν formülü</t>
  </si>
  <si>
    <t>Denklem 1.2</t>
  </si>
  <si>
    <t>T^QM_μν operatörü ⟨Ψ|T̂μν|Ψ⟩ için dalga fonksiyonu Ψ nasıl belirlenir?</t>
  </si>
  <si>
    <t>Kuantum tensör</t>
  </si>
  <si>
    <t>Ψ tanımı</t>
  </si>
  <si>
    <t>Root, T^QM</t>
  </si>
  <si>
    <t>DENEYSEL</t>
  </si>
  <si>
    <t>UST'nin LHC'de test edilebilir spesifik öngörüleri nelerdir?</t>
  </si>
  <si>
    <t>Parçacık fiziği</t>
  </si>
  <si>
    <t>Test listesi</t>
  </si>
  <si>
    <t>Tüm teoremler</t>
  </si>
  <si>
    <t>LIGO/Virgo gravitasyonel dalga verisinde UST imzası aranabilir mi?</t>
  </si>
  <si>
    <t>GW fiziği</t>
  </si>
  <si>
    <t>Sinyal analizi</t>
  </si>
  <si>
    <t>CMB (kozmik mikrodalga arka planı) UST tahminleriyle uyumlu mu?</t>
  </si>
  <si>
    <t>Kozmoloji</t>
  </si>
  <si>
    <t>Planck karşılaştırma</t>
  </si>
  <si>
    <t>T5, T38</t>
  </si>
  <si>
    <t>MATEMATİK</t>
  </si>
  <si>
    <t>Standart Model Lagranjiyen'i L_SM=Tr₁₇[...] formunda nasıl yazılır?</t>
  </si>
  <si>
    <t>SM entegrasyonu</t>
  </si>
  <si>
    <t>Tam Lagranjiyen</t>
  </si>
  <si>
    <t>LSM formülü</t>
  </si>
  <si>
    <t>P(Q):P(O)=3:2 termodinamik denge koşulu Fibonacci oranından nasıl türetilir?</t>
  </si>
  <si>
    <t>ONL hesabı</t>
  </si>
  <si>
    <t>Türetim</t>
  </si>
  <si>
    <t>ONL, Fibonacci</t>
  </si>
  <si>
    <t>ΔS=0 (Q↔O geçişleri) bilgi korunumu unitarlik kanıtı nedir?</t>
  </si>
  <si>
    <t>Entropi korunumu</t>
  </si>
  <si>
    <t>Matematiksel kanıt</t>
  </si>
  <si>
    <t>ALT.TEORİ</t>
  </si>
  <si>
    <t>UST ile Loop Quantum Gravity (LQG) karşılaştırması - Immirzi parametresi γ=Ns,q mı?</t>
  </si>
  <si>
    <t>LQG bağlantısı</t>
  </si>
  <si>
    <t>Karşılaştırma</t>
  </si>
  <si>
    <t>UST AdS/CFT dualitesiyle uyumlu mu? Holografik prensip nasıl entegre edilir?</t>
  </si>
  <si>
    <t>Holografi</t>
  </si>
  <si>
    <t>Bulk-sınır analizi</t>
  </si>
  <si>
    <t>Süpersimetri (SUSY) UST çerçevesine dahil edilebilir mi?</t>
  </si>
  <si>
    <t>SUSY</t>
  </si>
  <si>
    <t>Bozon-fermiyon</t>
  </si>
  <si>
    <t>DÜŞÜK</t>
  </si>
  <si>
    <t>ONTOLOJİ</t>
  </si>
  <si>
    <t>Omnium (Zero Element, O₁) 'pasif eşik durumu' fiziksel olarak neye karşılık gelir?</t>
  </si>
  <si>
    <t>Omnium tanımı</t>
  </si>
  <si>
    <t>Fiziksel yorum</t>
  </si>
  <si>
    <t>O₁</t>
  </si>
  <si>
    <t>📊 BÖLÜM 6: ÖZET SKOR TABLOSU VE SONUÇ</t>
  </si>
  <si>
    <t>Mevcut %</t>
  </si>
  <si>
    <t>Hedef %</t>
  </si>
  <si>
    <t>Fark</t>
  </si>
  <si>
    <t>Relativistik Katkı</t>
  </si>
  <si>
    <t>17D Entegrasyon</t>
  </si>
  <si>
    <t>GR Temeli</t>
  </si>
  <si>
    <t>Tamamlandı</t>
  </si>
  <si>
    <t>✅ MÜKEMMEL</t>
  </si>
  <si>
    <t>⚠️ Yeni eklendi</t>
  </si>
  <si>
    <t>⚠️ Entegrasyon gerekli</t>
  </si>
  <si>
    <t>⚠️ GELİŞMEKTE</t>
  </si>
  <si>
    <t>17-Boyut Yapısı</t>
  </si>
  <si>
    <t>γmax=17? testi</t>
  </si>
  <si>
    <t>✅ F=Q₁₆⊔O₁ tanımlı</t>
  </si>
  <si>
    <t>✅ İYİ</t>
  </si>
  <si>
    <t>Kuantum Gravitasyon</t>
  </si>
  <si>
    <t>Path integral + v</t>
  </si>
  <si>
    <t>❌ Wheeler-DeWitt eksik</t>
  </si>
  <si>
    <t>❌ EKSİK</t>
  </si>
  <si>
    <t>Kara Delik Fiziği</t>
  </si>
  <si>
    <t>TH(v), S(v) formülleri</t>
  </si>
  <si>
    <t>⚠️ Omnium ufku var</t>
  </si>
  <si>
    <t>⚠️ KISMI</t>
  </si>
  <si>
    <t>Fermiyonik Sektör</t>
  </si>
  <si>
    <t>Dirac rel. UST</t>
  </si>
  <si>
    <t>⚠️ SU(3) var, detay yok</t>
  </si>
  <si>
    <t>Erken evren + v</t>
  </si>
  <si>
    <t>✅ Λ, ΩDM, H0 çözümlü</t>
  </si>
  <si>
    <t>Deneysel Öngörüler</t>
  </si>
  <si>
    <t>LHC yüksek enerji</t>
  </si>
  <si>
    <t>❌ Spesifik tahmin yok</t>
  </si>
  <si>
    <t>GENEL SKOR</t>
  </si>
  <si>
    <t>Rel. kütle kritik</t>
  </si>
  <si>
    <t>17D iyi, QG eksik</t>
  </si>
  <si>
    <t>DEVAM</t>
  </si>
  <si>
    <t>🧮 BÖLÜM 7: RELATİVİSTİK KÜTLE HESAPLAMALARI - EXCEL FORMÜLLER</t>
  </si>
  <si>
    <t>β (v/c)</t>
  </si>
  <si>
    <t>γ Klasik</t>
  </si>
  <si>
    <t>γ UST Sınır</t>
  </si>
  <si>
    <t>m/m₀ Klasik</t>
  </si>
  <si>
    <t>m/m₀ UST</t>
  </si>
  <si>
    <t>E/E₀ Klasik</t>
  </si>
  <si>
    <t>E/E₀ UST</t>
  </si>
  <si>
    <t>Fark %</t>
  </si>
  <si>
    <t>⚠️ KRİTİK GÖZLEM: β&gt;0.9999'da γ&gt;&gt;17 olur, UST γmax=17 sınırı önerisini test etmek gerekir!</t>
  </si>
  <si>
    <t>🎯 BÖLÜM 8: ÖNCELİKLİ EYLEM PLANI - UST TAMAMLAMA YOL HARİTASI</t>
  </si>
  <si>
    <t>Faz</t>
  </si>
  <si>
    <t>Görev</t>
  </si>
  <si>
    <t>Alt Görevler</t>
  </si>
  <si>
    <t>Süre</t>
  </si>
  <si>
    <t>Bağımlılık</t>
  </si>
  <si>
    <t>Çıktı</t>
  </si>
  <si>
    <t>YZ Soru #</t>
  </si>
  <si>
    <t>Matematiksel zorunluluk ispatı</t>
  </si>
  <si>
    <t>Kritik</t>
  </si>
  <si>
    <t>İspat belgesi</t>
  </si>
  <si>
    <t>#1, #2</t>
  </si>
  <si>
    <t>Lorentz faktör UST limiti</t>
  </si>
  <si>
    <t>Faz 1</t>
  </si>
  <si>
    <t>Sınır formülü</t>
  </si>
  <si>
    <t>#4, #5</t>
  </si>
  <si>
    <t>Wheeler-DeWitt</t>
  </si>
  <si>
    <t>Kuantum kozmoloji entegrasyonu</t>
  </si>
  <si>
    <t>Yüksek</t>
  </si>
  <si>
    <t>Faz 1,2</t>
  </si>
  <si>
    <t>UST WDW denklemi</t>
  </si>
  <si>
    <t>#7</t>
  </si>
  <si>
    <t>Path Integral</t>
  </si>
  <si>
    <t>Faz 3</t>
  </si>
  <si>
    <t>Z_UST formülü</t>
  </si>
  <si>
    <t>#8</t>
  </si>
  <si>
    <t>Hawking+Bekenstein</t>
  </si>
  <si>
    <t>KD termodinamik UST</t>
  </si>
  <si>
    <t>Faz 2</t>
  </si>
  <si>
    <t>TH_UST, S_UST</t>
  </si>
  <si>
    <t>#10, #11</t>
  </si>
  <si>
    <t>Dirac UST</t>
  </si>
  <si>
    <t>Fermiyonik sektör tamamlama</t>
  </si>
  <si>
    <t>Orta</t>
  </si>
  <si>
    <t>Spinör formülü</t>
  </si>
  <si>
    <t>#16</t>
  </si>
  <si>
    <t>LHC, LIGO, CMB tahminleri</t>
  </si>
  <si>
    <t>Faz 1-6</t>
  </si>
  <si>
    <t>#21, #22, #23</t>
  </si>
  <si>
    <t>Tutarlılık Kontrolü</t>
  </si>
  <si>
    <t>Bianchi, korunum yasaları</t>
  </si>
  <si>
    <t>Faz 3,4</t>
  </si>
  <si>
    <t>Tutarlılık raporu</t>
  </si>
  <si>
    <t>#18, #19, #20</t>
  </si>
  <si>
    <t>Peer Review Hazırlık</t>
  </si>
  <si>
    <t>Akademik yayın</t>
  </si>
  <si>
    <t>Son</t>
  </si>
  <si>
    <t>Faz 1-8</t>
  </si>
  <si>
    <t>Makale taslağı</t>
  </si>
  <si>
    <t>Tümü</t>
  </si>
  <si>
    <t>📌 SONUÇ: UST v5 güçlü bir temel sunuyor. 17-boyut yapısı (F=Q₁₆⊔O₁) ve Ns,q köprü katsayısı özgün.</t>
  </si>
  <si>
    <t>Relativistik kütle entegrasyonu yeni perspektifler açıyor ancak γmax sınırı ve deneysel öngörüler KRİTİK.</t>
  </si>
  <si>
    <t>30 YZ sorusu ile sistematik tamamlama mümkün. Öncelik: #1-5 (Temel), #7-8 (QG), #21-23 (Deneysel)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</si>
</sst>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C00000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1" fillId="5" borderId="0" xfId="0" applyFont="1" applyFill="1"/>
    <xf numFmtId="0" fontId="3" fillId="6" borderId="0" xfId="0" applyFont="1" applyFill="1"/>
    <xf numFmtId="0" fontId="1" fillId="7" borderId="0" xfId="0" applyFont="1" applyFill="1"/>
    <xf numFmtId="0" fontId="3" fillId="8" borderId="0" xfId="0" applyFont="1" applyFill="1"/>
    <xf numFmtId="0" fontId="1" fillId="9" borderId="0" xfId="0" applyFont="1" applyFill="1"/>
    <xf numFmtId="0" fontId="3" fillId="10" borderId="0" xfId="0" applyFont="1" applyFill="1"/>
    <xf numFmtId="0" fontId="1" fillId="11" borderId="0" xfId="0" applyFont="1" applyFill="1"/>
    <xf numFmtId="9" fontId="0" fillId="0" borderId="0" xfId="0" applyNumberFormat="1"/>
    <xf numFmtId="0" fontId="1" fillId="12" borderId="0" xfId="0" applyFont="1" applyFill="1"/>
    <xf numFmtId="9" fontId="1" fillId="12" borderId="0" xfId="0" applyNumberFormat="1" applyFont="1" applyFill="1"/>
    <xf numFmtId="0" fontId="3" fillId="13" borderId="0" xfId="0" applyFont="1" applyFill="1"/>
    <xf numFmtId="0" fontId="4" fillId="0" borderId="0" xfId="0" applyFont="1"/>
    <xf numFmtId="0" fontId="3" fillId="14" borderId="0" xfId="0" applyFont="1" applyFill="1"/>
    <xf numFmtId="0" fontId="1" fillId="1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905E-5784-46E2-9855-5C34B4AFA1DD}">
  <sheetPr codeName="Sayfa4"/>
  <dimension ref="A1:H134"/>
  <sheetViews>
    <sheetView tabSelected="1" topLeftCell="B99" workbookViewId="0">
      <selection activeCell="B141" sqref="B141"/>
    </sheetView>
  </sheetViews>
  <sheetFormatPr defaultRowHeight="15" x14ac:dyDescent="0.25"/>
  <cols>
    <col min="1" max="1" width="93.140625" bestFit="1" customWidth="1"/>
    <col min="2" max="2" width="19.5703125" bestFit="1" customWidth="1"/>
    <col min="3" max="3" width="96.42578125" bestFit="1" customWidth="1"/>
    <col min="4" max="4" width="24.5703125" bestFit="1" customWidth="1"/>
    <col min="5" max="5" width="23.28515625" bestFit="1" customWidth="1"/>
    <col min="6" max="6" width="24.7109375" bestFit="1" customWidth="1"/>
    <col min="7" max="7" width="22.42578125" bestFit="1" customWidth="1"/>
    <col min="8" max="8" width="12" bestFit="1" customWidth="1"/>
  </cols>
  <sheetData>
    <row r="1" spans="1:8" ht="18.75" x14ac:dyDescent="0.3">
      <c r="A1" s="1" t="s">
        <v>0</v>
      </c>
    </row>
    <row r="2" spans="1:8" x14ac:dyDescent="0.25">
      <c r="A2" t="s">
        <v>1</v>
      </c>
    </row>
    <row r="4" spans="1:8" x14ac:dyDescent="0.25">
      <c r="A4" s="2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t="s">
        <v>11</v>
      </c>
      <c r="B6" t="s">
        <v>12</v>
      </c>
      <c r="C6">
        <f>(3-SQRT(3))/2-1/(137.036*17)</f>
        <v>0.63354534018494346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</row>
    <row r="7" spans="1:8" x14ac:dyDescent="0.25">
      <c r="A7" t="s">
        <v>18</v>
      </c>
      <c r="B7" t="s">
        <v>19</v>
      </c>
      <c r="C7">
        <f>1/137.036</f>
        <v>7.2973525205055605E-3</v>
      </c>
      <c r="D7" t="s">
        <v>20</v>
      </c>
      <c r="E7" t="s">
        <v>21</v>
      </c>
      <c r="F7" t="s">
        <v>22</v>
      </c>
      <c r="G7" t="s">
        <v>23</v>
      </c>
      <c r="H7" t="s">
        <v>17</v>
      </c>
    </row>
    <row r="8" spans="1:8" x14ac:dyDescent="0.25">
      <c r="A8" t="s">
        <v>24</v>
      </c>
      <c r="B8" t="s">
        <v>25</v>
      </c>
      <c r="C8">
        <v>17</v>
      </c>
      <c r="D8" t="s">
        <v>26</v>
      </c>
      <c r="E8" t="s">
        <v>27</v>
      </c>
      <c r="F8" t="s">
        <v>28</v>
      </c>
      <c r="G8" t="s">
        <v>29</v>
      </c>
      <c r="H8" t="s">
        <v>17</v>
      </c>
    </row>
    <row r="9" spans="1:8" x14ac:dyDescent="0.25">
      <c r="A9" t="s">
        <v>30</v>
      </c>
      <c r="B9" t="s">
        <v>31</v>
      </c>
      <c r="C9">
        <f>SQRT(6.626E-34*0.00000000006674/(2*PI()*(300000000)^3))</f>
        <v>1.6145332770889089E-35</v>
      </c>
      <c r="D9" t="s">
        <v>32</v>
      </c>
      <c r="E9" t="s">
        <v>33</v>
      </c>
      <c r="F9" t="s">
        <v>34</v>
      </c>
      <c r="G9" t="s">
        <v>35</v>
      </c>
      <c r="H9" t="s">
        <v>17</v>
      </c>
    </row>
    <row r="10" spans="1:8" x14ac:dyDescent="0.25">
      <c r="A10" t="s">
        <v>36</v>
      </c>
      <c r="B10" t="s">
        <v>37</v>
      </c>
      <c r="C10">
        <f>SQRT(6.626E-34*(300000000)/(2*PI()*0.00000000006674))</f>
        <v>2.1772249765957718E-8</v>
      </c>
      <c r="D10" t="s">
        <v>38</v>
      </c>
      <c r="E10" t="s">
        <v>39</v>
      </c>
      <c r="F10" t="s">
        <v>40</v>
      </c>
      <c r="G10" t="s">
        <v>41</v>
      </c>
      <c r="H10" t="s">
        <v>17</v>
      </c>
    </row>
    <row r="11" spans="1:8" x14ac:dyDescent="0.25">
      <c r="A11" t="s">
        <v>42</v>
      </c>
      <c r="B11" t="s">
        <v>43</v>
      </c>
      <c r="C11">
        <f>1/SQRT(1-0.99^2)</f>
        <v>7.0888120500833542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</row>
    <row r="12" spans="1:8" x14ac:dyDescent="0.25">
      <c r="A12" t="s">
        <v>49</v>
      </c>
      <c r="B12" t="s">
        <v>50</v>
      </c>
      <c r="C12">
        <f>9.109E-31*C11</f>
        <v>6.4571988964209267E-30</v>
      </c>
      <c r="D12" t="s">
        <v>51</v>
      </c>
      <c r="E12" t="s">
        <v>52</v>
      </c>
      <c r="F12" t="s">
        <v>53</v>
      </c>
      <c r="G12" t="s">
        <v>54</v>
      </c>
      <c r="H12" t="s">
        <v>48</v>
      </c>
    </row>
    <row r="13" spans="1:8" x14ac:dyDescent="0.25">
      <c r="A13" t="s">
        <v>55</v>
      </c>
      <c r="B13" t="s">
        <v>56</v>
      </c>
      <c r="C13">
        <f>C12*(300000000)^2</f>
        <v>5.811479006778834E-13</v>
      </c>
      <c r="D13" t="s">
        <v>57</v>
      </c>
      <c r="E13" t="s">
        <v>58</v>
      </c>
      <c r="F13" t="s">
        <v>59</v>
      </c>
      <c r="G13" t="s">
        <v>60</v>
      </c>
      <c r="H13" t="s">
        <v>48</v>
      </c>
    </row>
    <row r="14" spans="1:8" x14ac:dyDescent="0.25">
      <c r="A14" t="s">
        <v>61</v>
      </c>
      <c r="B14" t="s">
        <v>62</v>
      </c>
      <c r="C14">
        <f>EXP(-2*PI()*C6*(1-C6))</f>
        <v>0.23252913467665981</v>
      </c>
      <c r="D14" t="s">
        <v>63</v>
      </c>
      <c r="E14" t="s">
        <v>64</v>
      </c>
      <c r="F14" t="s">
        <v>65</v>
      </c>
      <c r="G14" t="s">
        <v>66</v>
      </c>
      <c r="H14" t="s">
        <v>17</v>
      </c>
    </row>
    <row r="15" spans="1:8" x14ac:dyDescent="0.25">
      <c r="A15" t="s">
        <v>67</v>
      </c>
      <c r="B15" t="s">
        <v>68</v>
      </c>
      <c r="C15">
        <f>1-C6</f>
        <v>0.36645465981505654</v>
      </c>
      <c r="D15" t="s">
        <v>69</v>
      </c>
      <c r="E15" t="s">
        <v>70</v>
      </c>
      <c r="F15" t="s">
        <v>71</v>
      </c>
      <c r="G15" t="s">
        <v>72</v>
      </c>
      <c r="H15" t="s">
        <v>17</v>
      </c>
    </row>
    <row r="17" spans="1:8" x14ac:dyDescent="0.25">
      <c r="A17" s="2" t="s">
        <v>73</v>
      </c>
    </row>
    <row r="18" spans="1:8" x14ac:dyDescent="0.25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10</v>
      </c>
    </row>
    <row r="19" spans="1:8" x14ac:dyDescent="0.25">
      <c r="A19">
        <v>1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48</v>
      </c>
    </row>
    <row r="20" spans="1:8" x14ac:dyDescent="0.25">
      <c r="A20">
        <v>2</v>
      </c>
      <c r="B20" t="s">
        <v>49</v>
      </c>
      <c r="C20" t="s">
        <v>87</v>
      </c>
      <c r="D20" t="s">
        <v>88</v>
      </c>
      <c r="E20" t="s">
        <v>89</v>
      </c>
      <c r="F20" t="s">
        <v>90</v>
      </c>
      <c r="G20" t="s">
        <v>91</v>
      </c>
      <c r="H20" t="s">
        <v>48</v>
      </c>
    </row>
    <row r="21" spans="1:8" x14ac:dyDescent="0.25">
      <c r="A21">
        <v>3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48</v>
      </c>
    </row>
    <row r="22" spans="1:8" x14ac:dyDescent="0.25">
      <c r="A22">
        <v>4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 t="s">
        <v>104</v>
      </c>
    </row>
    <row r="23" spans="1:8" x14ac:dyDescent="0.25">
      <c r="A23">
        <v>5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48</v>
      </c>
    </row>
    <row r="24" spans="1:8" x14ac:dyDescent="0.25">
      <c r="A24">
        <v>6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116</v>
      </c>
      <c r="H24" t="s">
        <v>104</v>
      </c>
    </row>
    <row r="25" spans="1:8" x14ac:dyDescent="0.25">
      <c r="A25">
        <v>7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  <c r="G25" t="s">
        <v>122</v>
      </c>
      <c r="H25" t="s">
        <v>104</v>
      </c>
    </row>
    <row r="26" spans="1:8" x14ac:dyDescent="0.25">
      <c r="A26">
        <v>8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  <c r="G26" t="s">
        <v>128</v>
      </c>
      <c r="H26" t="s">
        <v>104</v>
      </c>
    </row>
    <row r="27" spans="1:8" x14ac:dyDescent="0.25">
      <c r="A27">
        <v>9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48</v>
      </c>
    </row>
    <row r="28" spans="1:8" x14ac:dyDescent="0.25">
      <c r="A28">
        <v>10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48</v>
      </c>
    </row>
    <row r="30" spans="1:8" x14ac:dyDescent="0.25">
      <c r="A30" s="4" t="s">
        <v>141</v>
      </c>
    </row>
    <row r="31" spans="1:8" x14ac:dyDescent="0.25">
      <c r="A31" s="5" t="s">
        <v>142</v>
      </c>
      <c r="B31" s="5" t="s">
        <v>5</v>
      </c>
      <c r="C31" s="5" t="s">
        <v>143</v>
      </c>
      <c r="D31" s="5" t="s">
        <v>144</v>
      </c>
      <c r="E31" s="5" t="s">
        <v>145</v>
      </c>
      <c r="F31" s="5" t="s">
        <v>146</v>
      </c>
      <c r="G31" s="5" t="s">
        <v>147</v>
      </c>
      <c r="H31" s="5" t="s">
        <v>148</v>
      </c>
    </row>
    <row r="32" spans="1:8" x14ac:dyDescent="0.25">
      <c r="A32" t="s">
        <v>149</v>
      </c>
      <c r="B32">
        <v>17</v>
      </c>
      <c r="C32" t="s">
        <v>150</v>
      </c>
      <c r="D32" t="s">
        <v>151</v>
      </c>
      <c r="E32" t="s">
        <v>152</v>
      </c>
      <c r="F32" t="s">
        <v>153</v>
      </c>
      <c r="G32" t="s">
        <v>154</v>
      </c>
      <c r="H32" t="s">
        <v>17</v>
      </c>
    </row>
    <row r="33" spans="1:8" x14ac:dyDescent="0.25">
      <c r="A33" t="s">
        <v>155</v>
      </c>
      <c r="B33">
        <v>17</v>
      </c>
      <c r="C33" t="s">
        <v>156</v>
      </c>
      <c r="D33" t="s">
        <v>157</v>
      </c>
      <c r="E33" t="s">
        <v>158</v>
      </c>
      <c r="F33" t="s">
        <v>159</v>
      </c>
      <c r="G33" t="s">
        <v>160</v>
      </c>
      <c r="H33" t="s">
        <v>17</v>
      </c>
    </row>
    <row r="34" spans="1:8" x14ac:dyDescent="0.25">
      <c r="A34" t="s">
        <v>161</v>
      </c>
      <c r="B34">
        <v>17</v>
      </c>
      <c r="C34" t="s">
        <v>162</v>
      </c>
      <c r="D34" t="s">
        <v>163</v>
      </c>
      <c r="E34" t="s">
        <v>164</v>
      </c>
      <c r="F34" t="s">
        <v>165</v>
      </c>
      <c r="G34" t="s">
        <v>166</v>
      </c>
      <c r="H34" t="s">
        <v>17</v>
      </c>
    </row>
    <row r="35" spans="1:8" x14ac:dyDescent="0.25">
      <c r="A35" t="s">
        <v>167</v>
      </c>
      <c r="B35">
        <v>16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  <c r="H35" t="s">
        <v>17</v>
      </c>
    </row>
    <row r="36" spans="1:8" x14ac:dyDescent="0.25">
      <c r="A36" t="s">
        <v>173</v>
      </c>
      <c r="B36">
        <v>1</v>
      </c>
      <c r="C36" t="s">
        <v>174</v>
      </c>
      <c r="D36" t="s">
        <v>175</v>
      </c>
      <c r="E36" t="s">
        <v>176</v>
      </c>
      <c r="F36" t="s">
        <v>166</v>
      </c>
      <c r="G36" t="s">
        <v>177</v>
      </c>
      <c r="H36" t="s">
        <v>17</v>
      </c>
    </row>
    <row r="37" spans="1:8" x14ac:dyDescent="0.25">
      <c r="A37" t="s">
        <v>178</v>
      </c>
      <c r="B37">
        <v>0.63349999999999995</v>
      </c>
      <c r="C37" t="s">
        <v>179</v>
      </c>
      <c r="D37" t="s">
        <v>180</v>
      </c>
      <c r="E37" t="s">
        <v>181</v>
      </c>
      <c r="F37" t="s">
        <v>182</v>
      </c>
      <c r="G37" t="s">
        <v>183</v>
      </c>
      <c r="H37" t="s">
        <v>17</v>
      </c>
    </row>
    <row r="38" spans="1:8" x14ac:dyDescent="0.25">
      <c r="A38" t="s">
        <v>184</v>
      </c>
      <c r="B38">
        <v>5.8799999999999998E-2</v>
      </c>
      <c r="C38" t="s">
        <v>185</v>
      </c>
      <c r="D38" t="s">
        <v>186</v>
      </c>
      <c r="E38" t="s">
        <v>187</v>
      </c>
      <c r="F38" t="s">
        <v>188</v>
      </c>
      <c r="G38" t="s">
        <v>189</v>
      </c>
      <c r="H38" t="s">
        <v>48</v>
      </c>
    </row>
    <row r="39" spans="1:8" x14ac:dyDescent="0.25">
      <c r="A39" t="s">
        <v>190</v>
      </c>
      <c r="B39">
        <v>0.25</v>
      </c>
      <c r="C39" t="s">
        <v>191</v>
      </c>
      <c r="D39" t="s">
        <v>192</v>
      </c>
      <c r="E39" t="s">
        <v>193</v>
      </c>
      <c r="F39" t="s">
        <v>194</v>
      </c>
      <c r="G39" t="s">
        <v>159</v>
      </c>
      <c r="H39" t="s">
        <v>48</v>
      </c>
    </row>
    <row r="40" spans="1:8" x14ac:dyDescent="0.25">
      <c r="A40" t="s">
        <v>195</v>
      </c>
      <c r="B40">
        <v>0.23250000000000001</v>
      </c>
      <c r="C40" t="s">
        <v>196</v>
      </c>
      <c r="D40" t="s">
        <v>197</v>
      </c>
      <c r="E40" t="s">
        <v>198</v>
      </c>
      <c r="F40" t="s">
        <v>199</v>
      </c>
      <c r="G40" t="s">
        <v>200</v>
      </c>
      <c r="H40" t="s">
        <v>17</v>
      </c>
    </row>
    <row r="41" spans="1:8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206</v>
      </c>
      <c r="G41" t="s">
        <v>207</v>
      </c>
      <c r="H41" t="s">
        <v>48</v>
      </c>
    </row>
    <row r="42" spans="1:8" x14ac:dyDescent="0.25">
      <c r="A42" t="s">
        <v>208</v>
      </c>
      <c r="B42">
        <v>0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48</v>
      </c>
    </row>
    <row r="44" spans="1:8" x14ac:dyDescent="0.25">
      <c r="A44" s="6" t="s">
        <v>214</v>
      </c>
    </row>
    <row r="45" spans="1:8" x14ac:dyDescent="0.25">
      <c r="A45" s="7" t="s">
        <v>74</v>
      </c>
      <c r="B45" s="7" t="s">
        <v>215</v>
      </c>
      <c r="C45" s="7" t="s">
        <v>216</v>
      </c>
      <c r="D45" s="7" t="s">
        <v>217</v>
      </c>
      <c r="E45" s="7" t="s">
        <v>218</v>
      </c>
      <c r="F45" s="7" t="s">
        <v>219</v>
      </c>
      <c r="G45" s="7" t="s">
        <v>220</v>
      </c>
      <c r="H45" s="7" t="s">
        <v>221</v>
      </c>
    </row>
    <row r="46" spans="1:8" x14ac:dyDescent="0.25">
      <c r="A46">
        <v>1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  <c r="G46" t="s">
        <v>227</v>
      </c>
      <c r="H46" t="s">
        <v>228</v>
      </c>
    </row>
    <row r="47" spans="1:8" x14ac:dyDescent="0.25">
      <c r="A47">
        <v>2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 t="s">
        <v>234</v>
      </c>
      <c r="H47" t="s">
        <v>228</v>
      </c>
    </row>
    <row r="48" spans="1:8" x14ac:dyDescent="0.25">
      <c r="A48">
        <v>3</v>
      </c>
      <c r="B48" t="s">
        <v>235</v>
      </c>
      <c r="C48" t="s">
        <v>236</v>
      </c>
      <c r="D48" t="s">
        <v>237</v>
      </c>
      <c r="E48" t="s">
        <v>238</v>
      </c>
      <c r="F48" t="s">
        <v>239</v>
      </c>
      <c r="G48" t="s">
        <v>240</v>
      </c>
      <c r="H48" t="s">
        <v>228</v>
      </c>
    </row>
    <row r="49" spans="1:8" x14ac:dyDescent="0.25">
      <c r="A49">
        <v>4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  <c r="G49" t="s">
        <v>240</v>
      </c>
      <c r="H49" t="s">
        <v>246</v>
      </c>
    </row>
    <row r="50" spans="1:8" x14ac:dyDescent="0.25">
      <c r="A50">
        <v>5</v>
      </c>
      <c r="B50" t="s">
        <v>247</v>
      </c>
      <c r="C50" t="s">
        <v>248</v>
      </c>
      <c r="D50" t="s">
        <v>249</v>
      </c>
      <c r="E50" t="s">
        <v>250</v>
      </c>
      <c r="F50" t="s">
        <v>251</v>
      </c>
      <c r="G50" t="s">
        <v>252</v>
      </c>
      <c r="H50" t="s">
        <v>246</v>
      </c>
    </row>
    <row r="51" spans="1:8" x14ac:dyDescent="0.25">
      <c r="A51">
        <v>6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 t="s">
        <v>258</v>
      </c>
      <c r="H51" t="s">
        <v>246</v>
      </c>
    </row>
    <row r="52" spans="1:8" x14ac:dyDescent="0.25">
      <c r="A52">
        <v>7</v>
      </c>
      <c r="B52" t="s">
        <v>259</v>
      </c>
      <c r="C52" t="s">
        <v>260</v>
      </c>
      <c r="D52" t="s">
        <v>261</v>
      </c>
      <c r="E52" t="s">
        <v>262</v>
      </c>
      <c r="F52" t="s">
        <v>263</v>
      </c>
      <c r="G52" t="s">
        <v>264</v>
      </c>
      <c r="H52" t="s">
        <v>246</v>
      </c>
    </row>
    <row r="53" spans="1:8" x14ac:dyDescent="0.25">
      <c r="A53">
        <v>8</v>
      </c>
      <c r="B53" t="s">
        <v>265</v>
      </c>
      <c r="C53" t="s">
        <v>266</v>
      </c>
      <c r="D53" t="s">
        <v>267</v>
      </c>
      <c r="E53" t="s">
        <v>268</v>
      </c>
      <c r="F53" t="s">
        <v>269</v>
      </c>
      <c r="G53" t="s">
        <v>212</v>
      </c>
      <c r="H53" t="s">
        <v>270</v>
      </c>
    </row>
    <row r="54" spans="1:8" x14ac:dyDescent="0.25">
      <c r="A54">
        <v>9</v>
      </c>
      <c r="B54" t="s">
        <v>271</v>
      </c>
      <c r="C54" t="s">
        <v>272</v>
      </c>
      <c r="D54" t="s">
        <v>273</v>
      </c>
      <c r="E54" t="s">
        <v>274</v>
      </c>
      <c r="F54" t="s">
        <v>275</v>
      </c>
      <c r="G54" t="s">
        <v>276</v>
      </c>
      <c r="H54" t="s">
        <v>270</v>
      </c>
    </row>
    <row r="55" spans="1:8" x14ac:dyDescent="0.25">
      <c r="A55">
        <v>10</v>
      </c>
      <c r="B55" t="s">
        <v>277</v>
      </c>
      <c r="C55" t="s">
        <v>278</v>
      </c>
      <c r="D55" t="s">
        <v>279</v>
      </c>
      <c r="E55" t="s">
        <v>280</v>
      </c>
      <c r="F55" t="s">
        <v>281</v>
      </c>
      <c r="G55" t="s">
        <v>282</v>
      </c>
      <c r="H55" t="s">
        <v>270</v>
      </c>
    </row>
    <row r="56" spans="1:8" x14ac:dyDescent="0.25">
      <c r="A56">
        <v>11</v>
      </c>
      <c r="B56" t="s">
        <v>283</v>
      </c>
      <c r="C56" t="s">
        <v>284</v>
      </c>
      <c r="D56" t="s">
        <v>285</v>
      </c>
      <c r="E56" t="s">
        <v>286</v>
      </c>
      <c r="F56" t="s">
        <v>287</v>
      </c>
      <c r="G56" t="s">
        <v>288</v>
      </c>
      <c r="H56" t="s">
        <v>246</v>
      </c>
    </row>
    <row r="57" spans="1:8" x14ac:dyDescent="0.25">
      <c r="A57">
        <v>12</v>
      </c>
      <c r="B57" t="s">
        <v>289</v>
      </c>
      <c r="C57" t="s">
        <v>290</v>
      </c>
      <c r="D57" t="s">
        <v>211</v>
      </c>
      <c r="E57" t="s">
        <v>291</v>
      </c>
      <c r="F57" t="s">
        <v>292</v>
      </c>
      <c r="G57" t="s">
        <v>240</v>
      </c>
      <c r="H57" t="s">
        <v>246</v>
      </c>
    </row>
    <row r="58" spans="1:8" x14ac:dyDescent="0.25">
      <c r="A58">
        <v>13</v>
      </c>
      <c r="B58" t="s">
        <v>293</v>
      </c>
      <c r="C58" t="s">
        <v>294</v>
      </c>
      <c r="D58" t="s">
        <v>295</v>
      </c>
      <c r="E58" t="s">
        <v>296</v>
      </c>
      <c r="F58" t="s">
        <v>297</v>
      </c>
      <c r="G58" t="s">
        <v>298</v>
      </c>
      <c r="H58" t="s">
        <v>228</v>
      </c>
    </row>
    <row r="59" spans="1:8" x14ac:dyDescent="0.25">
      <c r="A59">
        <v>14</v>
      </c>
      <c r="B59" t="s">
        <v>299</v>
      </c>
      <c r="C59" t="s">
        <v>300</v>
      </c>
      <c r="D59" t="s">
        <v>301</v>
      </c>
      <c r="E59" t="s">
        <v>302</v>
      </c>
      <c r="F59" t="s">
        <v>303</v>
      </c>
      <c r="G59" t="s">
        <v>288</v>
      </c>
      <c r="H59" t="s">
        <v>246</v>
      </c>
    </row>
    <row r="60" spans="1:8" x14ac:dyDescent="0.25">
      <c r="A60">
        <v>15</v>
      </c>
      <c r="B60" t="s">
        <v>304</v>
      </c>
      <c r="C60" t="s">
        <v>305</v>
      </c>
      <c r="D60" t="s">
        <v>306</v>
      </c>
      <c r="E60" t="s">
        <v>307</v>
      </c>
      <c r="F60" t="s">
        <v>308</v>
      </c>
      <c r="G60" t="s">
        <v>309</v>
      </c>
      <c r="H60" t="s">
        <v>228</v>
      </c>
    </row>
    <row r="62" spans="1:8" x14ac:dyDescent="0.25">
      <c r="A62" s="8" t="s">
        <v>310</v>
      </c>
    </row>
    <row r="63" spans="1:8" x14ac:dyDescent="0.25">
      <c r="A63" s="9" t="s">
        <v>74</v>
      </c>
      <c r="B63" s="9" t="s">
        <v>311</v>
      </c>
      <c r="C63" s="9" t="s">
        <v>312</v>
      </c>
      <c r="D63" s="9" t="s">
        <v>313</v>
      </c>
      <c r="E63" s="9" t="s">
        <v>314</v>
      </c>
      <c r="F63" s="9" t="s">
        <v>315</v>
      </c>
      <c r="G63" s="9" t="s">
        <v>221</v>
      </c>
      <c r="H63" s="9" t="s">
        <v>10</v>
      </c>
    </row>
    <row r="64" spans="1:8" x14ac:dyDescent="0.25">
      <c r="A64">
        <v>1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  <c r="G64" t="s">
        <v>228</v>
      </c>
      <c r="H64" t="s">
        <v>321</v>
      </c>
    </row>
    <row r="65" spans="1:8" x14ac:dyDescent="0.25">
      <c r="A65">
        <v>2</v>
      </c>
      <c r="B65" t="s">
        <v>316</v>
      </c>
      <c r="C65" t="s">
        <v>322</v>
      </c>
      <c r="D65" t="s">
        <v>323</v>
      </c>
      <c r="E65" t="s">
        <v>324</v>
      </c>
      <c r="F65" t="s">
        <v>325</v>
      </c>
      <c r="G65" t="s">
        <v>228</v>
      </c>
      <c r="H65" t="s">
        <v>321</v>
      </c>
    </row>
    <row r="66" spans="1:8" x14ac:dyDescent="0.25">
      <c r="A66">
        <v>3</v>
      </c>
      <c r="B66" t="s">
        <v>316</v>
      </c>
      <c r="C66" t="s">
        <v>326</v>
      </c>
      <c r="D66" t="s">
        <v>327</v>
      </c>
      <c r="E66" t="s">
        <v>328</v>
      </c>
      <c r="F66" t="s">
        <v>329</v>
      </c>
      <c r="G66" t="s">
        <v>246</v>
      </c>
      <c r="H66" t="s">
        <v>321</v>
      </c>
    </row>
    <row r="67" spans="1:8" x14ac:dyDescent="0.25">
      <c r="A67">
        <v>4</v>
      </c>
      <c r="B67" t="s">
        <v>330</v>
      </c>
      <c r="C67" t="s">
        <v>331</v>
      </c>
      <c r="D67" t="s">
        <v>332</v>
      </c>
      <c r="E67" t="s">
        <v>333</v>
      </c>
      <c r="F67" t="s">
        <v>334</v>
      </c>
      <c r="G67" t="s">
        <v>228</v>
      </c>
      <c r="H67" t="s">
        <v>321</v>
      </c>
    </row>
    <row r="68" spans="1:8" x14ac:dyDescent="0.25">
      <c r="A68">
        <v>5</v>
      </c>
      <c r="B68" t="s">
        <v>330</v>
      </c>
      <c r="C68" t="s">
        <v>335</v>
      </c>
      <c r="D68" t="s">
        <v>224</v>
      </c>
      <c r="E68" t="s">
        <v>336</v>
      </c>
      <c r="F68" t="s">
        <v>337</v>
      </c>
      <c r="G68" t="s">
        <v>228</v>
      </c>
      <c r="H68" t="s">
        <v>321</v>
      </c>
    </row>
    <row r="69" spans="1:8" x14ac:dyDescent="0.25">
      <c r="A69">
        <v>6</v>
      </c>
      <c r="B69" t="s">
        <v>330</v>
      </c>
      <c r="C69" t="s">
        <v>338</v>
      </c>
      <c r="D69" t="s">
        <v>339</v>
      </c>
      <c r="E69" t="s">
        <v>340</v>
      </c>
      <c r="F69" t="s">
        <v>341</v>
      </c>
      <c r="G69" t="s">
        <v>246</v>
      </c>
      <c r="H69" t="s">
        <v>321</v>
      </c>
    </row>
    <row r="70" spans="1:8" x14ac:dyDescent="0.25">
      <c r="A70">
        <v>7</v>
      </c>
      <c r="B70" t="s">
        <v>342</v>
      </c>
      <c r="C70" t="s">
        <v>343</v>
      </c>
      <c r="D70" t="s">
        <v>344</v>
      </c>
      <c r="E70" t="s">
        <v>345</v>
      </c>
      <c r="F70" t="s">
        <v>346</v>
      </c>
      <c r="G70" t="s">
        <v>228</v>
      </c>
      <c r="H70" t="s">
        <v>321</v>
      </c>
    </row>
    <row r="71" spans="1:8" x14ac:dyDescent="0.25">
      <c r="A71">
        <v>8</v>
      </c>
      <c r="B71" t="s">
        <v>342</v>
      </c>
      <c r="C71" t="s">
        <v>347</v>
      </c>
      <c r="D71" t="s">
        <v>348</v>
      </c>
      <c r="E71" t="s">
        <v>349</v>
      </c>
      <c r="F71" t="s">
        <v>325</v>
      </c>
      <c r="G71" t="s">
        <v>228</v>
      </c>
      <c r="H71" t="s">
        <v>321</v>
      </c>
    </row>
    <row r="72" spans="1:8" x14ac:dyDescent="0.25">
      <c r="A72">
        <v>9</v>
      </c>
      <c r="B72" t="s">
        <v>342</v>
      </c>
      <c r="C72" t="s">
        <v>350</v>
      </c>
      <c r="D72" t="s">
        <v>285</v>
      </c>
      <c r="E72" t="s">
        <v>351</v>
      </c>
      <c r="F72" t="s">
        <v>352</v>
      </c>
      <c r="G72" t="s">
        <v>246</v>
      </c>
      <c r="H72" t="s">
        <v>321</v>
      </c>
    </row>
    <row r="73" spans="1:8" x14ac:dyDescent="0.25">
      <c r="A73">
        <v>10</v>
      </c>
      <c r="B73" t="s">
        <v>353</v>
      </c>
      <c r="C73" t="s">
        <v>354</v>
      </c>
      <c r="D73" t="s">
        <v>243</v>
      </c>
      <c r="E73" t="s">
        <v>355</v>
      </c>
      <c r="F73" t="s">
        <v>356</v>
      </c>
      <c r="G73" t="s">
        <v>246</v>
      </c>
      <c r="H73" t="s">
        <v>321</v>
      </c>
    </row>
    <row r="74" spans="1:8" x14ac:dyDescent="0.25">
      <c r="A74">
        <v>11</v>
      </c>
      <c r="B74" t="s">
        <v>353</v>
      </c>
      <c r="C74" t="s">
        <v>357</v>
      </c>
      <c r="D74" t="s">
        <v>358</v>
      </c>
      <c r="E74" t="s">
        <v>359</v>
      </c>
      <c r="F74" t="s">
        <v>360</v>
      </c>
      <c r="G74" t="s">
        <v>246</v>
      </c>
      <c r="H74" t="s">
        <v>321</v>
      </c>
    </row>
    <row r="75" spans="1:8" x14ac:dyDescent="0.25">
      <c r="A75">
        <v>12</v>
      </c>
      <c r="B75" t="s">
        <v>353</v>
      </c>
      <c r="C75" t="s">
        <v>361</v>
      </c>
      <c r="D75" t="s">
        <v>211</v>
      </c>
      <c r="E75" t="s">
        <v>362</v>
      </c>
      <c r="F75" t="s">
        <v>363</v>
      </c>
      <c r="G75" t="s">
        <v>246</v>
      </c>
      <c r="H75" t="s">
        <v>321</v>
      </c>
    </row>
    <row r="76" spans="1:8" x14ac:dyDescent="0.25">
      <c r="A76">
        <v>13</v>
      </c>
      <c r="B76" t="s">
        <v>364</v>
      </c>
      <c r="C76" t="s">
        <v>365</v>
      </c>
      <c r="D76" t="s">
        <v>366</v>
      </c>
      <c r="E76" t="s">
        <v>367</v>
      </c>
      <c r="F76" t="s">
        <v>368</v>
      </c>
      <c r="G76" t="s">
        <v>246</v>
      </c>
      <c r="H76" t="s">
        <v>321</v>
      </c>
    </row>
    <row r="77" spans="1:8" x14ac:dyDescent="0.25">
      <c r="A77">
        <v>14</v>
      </c>
      <c r="B77" t="s">
        <v>364</v>
      </c>
      <c r="C77" t="s">
        <v>369</v>
      </c>
      <c r="D77" t="s">
        <v>370</v>
      </c>
      <c r="E77" t="s">
        <v>371</v>
      </c>
      <c r="F77" t="s">
        <v>372</v>
      </c>
      <c r="G77" t="s">
        <v>270</v>
      </c>
      <c r="H77" t="s">
        <v>321</v>
      </c>
    </row>
    <row r="78" spans="1:8" x14ac:dyDescent="0.25">
      <c r="A78">
        <v>15</v>
      </c>
      <c r="B78" t="s">
        <v>364</v>
      </c>
      <c r="C78" t="s">
        <v>373</v>
      </c>
      <c r="D78" t="s">
        <v>374</v>
      </c>
      <c r="E78" t="s">
        <v>375</v>
      </c>
      <c r="F78" t="s">
        <v>376</v>
      </c>
      <c r="G78" t="s">
        <v>270</v>
      </c>
      <c r="H78" t="s">
        <v>321</v>
      </c>
    </row>
    <row r="79" spans="1:8" x14ac:dyDescent="0.25">
      <c r="A79">
        <v>16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246</v>
      </c>
      <c r="H79" t="s">
        <v>321</v>
      </c>
    </row>
    <row r="80" spans="1:8" x14ac:dyDescent="0.25">
      <c r="A80">
        <v>17</v>
      </c>
      <c r="B80" t="s">
        <v>377</v>
      </c>
      <c r="C80" t="s">
        <v>382</v>
      </c>
      <c r="D80" t="s">
        <v>383</v>
      </c>
      <c r="E80" t="s">
        <v>384</v>
      </c>
      <c r="F80" t="s">
        <v>385</v>
      </c>
      <c r="G80" t="s">
        <v>270</v>
      </c>
      <c r="H80" t="s">
        <v>321</v>
      </c>
    </row>
    <row r="81" spans="1:8" x14ac:dyDescent="0.25">
      <c r="A81">
        <v>18</v>
      </c>
      <c r="B81" t="s">
        <v>386</v>
      </c>
      <c r="C81" t="s">
        <v>387</v>
      </c>
      <c r="D81" t="s">
        <v>388</v>
      </c>
      <c r="E81" t="s">
        <v>389</v>
      </c>
      <c r="F81" t="s">
        <v>346</v>
      </c>
      <c r="G81" t="s">
        <v>228</v>
      </c>
      <c r="H81" t="s">
        <v>321</v>
      </c>
    </row>
    <row r="82" spans="1:8" x14ac:dyDescent="0.25">
      <c r="A82">
        <v>19</v>
      </c>
      <c r="B82" t="s">
        <v>386</v>
      </c>
      <c r="C82" t="s">
        <v>390</v>
      </c>
      <c r="D82" t="s">
        <v>29</v>
      </c>
      <c r="E82" t="s">
        <v>391</v>
      </c>
      <c r="F82" t="s">
        <v>392</v>
      </c>
      <c r="G82" t="s">
        <v>246</v>
      </c>
      <c r="H82" t="s">
        <v>321</v>
      </c>
    </row>
    <row r="83" spans="1:8" x14ac:dyDescent="0.25">
      <c r="A83">
        <v>20</v>
      </c>
      <c r="B83" t="s">
        <v>386</v>
      </c>
      <c r="C83" t="s">
        <v>393</v>
      </c>
      <c r="D83" t="s">
        <v>394</v>
      </c>
      <c r="E83" t="s">
        <v>395</v>
      </c>
      <c r="F83" t="s">
        <v>396</v>
      </c>
      <c r="G83" t="s">
        <v>228</v>
      </c>
      <c r="H83" t="s">
        <v>321</v>
      </c>
    </row>
    <row r="84" spans="1:8" x14ac:dyDescent="0.25">
      <c r="A84">
        <v>21</v>
      </c>
      <c r="B84" t="s">
        <v>397</v>
      </c>
      <c r="C84" t="s">
        <v>398</v>
      </c>
      <c r="D84" t="s">
        <v>399</v>
      </c>
      <c r="E84" t="s">
        <v>400</v>
      </c>
      <c r="F84" t="s">
        <v>401</v>
      </c>
      <c r="G84" t="s">
        <v>228</v>
      </c>
      <c r="H84" t="s">
        <v>321</v>
      </c>
    </row>
    <row r="85" spans="1:8" x14ac:dyDescent="0.25">
      <c r="A85">
        <v>22</v>
      </c>
      <c r="B85" t="s">
        <v>397</v>
      </c>
      <c r="C85" t="s">
        <v>402</v>
      </c>
      <c r="D85" t="s">
        <v>403</v>
      </c>
      <c r="E85" t="s">
        <v>404</v>
      </c>
      <c r="F85" t="s">
        <v>360</v>
      </c>
      <c r="G85" t="s">
        <v>246</v>
      </c>
      <c r="H85" t="s">
        <v>321</v>
      </c>
    </row>
    <row r="86" spans="1:8" x14ac:dyDescent="0.25">
      <c r="A86">
        <v>23</v>
      </c>
      <c r="B86" t="s">
        <v>397</v>
      </c>
      <c r="C86" t="s">
        <v>405</v>
      </c>
      <c r="D86" t="s">
        <v>406</v>
      </c>
      <c r="E86" t="s">
        <v>407</v>
      </c>
      <c r="F86" t="s">
        <v>408</v>
      </c>
      <c r="G86" t="s">
        <v>246</v>
      </c>
      <c r="H86" t="s">
        <v>321</v>
      </c>
    </row>
    <row r="87" spans="1:8" x14ac:dyDescent="0.25">
      <c r="A87">
        <v>24</v>
      </c>
      <c r="B87" t="s">
        <v>409</v>
      </c>
      <c r="C87" t="s">
        <v>410</v>
      </c>
      <c r="D87" t="s">
        <v>411</v>
      </c>
      <c r="E87" t="s">
        <v>412</v>
      </c>
      <c r="F87" t="s">
        <v>413</v>
      </c>
      <c r="G87" t="s">
        <v>246</v>
      </c>
      <c r="H87" t="s">
        <v>321</v>
      </c>
    </row>
    <row r="88" spans="1:8" x14ac:dyDescent="0.25">
      <c r="A88">
        <v>25</v>
      </c>
      <c r="B88" t="s">
        <v>409</v>
      </c>
      <c r="C88" t="s">
        <v>414</v>
      </c>
      <c r="D88" t="s">
        <v>415</v>
      </c>
      <c r="E88" t="s">
        <v>416</v>
      </c>
      <c r="F88" t="s">
        <v>417</v>
      </c>
      <c r="G88" t="s">
        <v>270</v>
      </c>
      <c r="H88" t="s">
        <v>321</v>
      </c>
    </row>
    <row r="89" spans="1:8" x14ac:dyDescent="0.25">
      <c r="A89">
        <v>26</v>
      </c>
      <c r="B89" t="s">
        <v>409</v>
      </c>
      <c r="C89" t="s">
        <v>418</v>
      </c>
      <c r="D89" t="s">
        <v>419</v>
      </c>
      <c r="E89" t="s">
        <v>420</v>
      </c>
      <c r="F89" t="s">
        <v>363</v>
      </c>
      <c r="G89" t="s">
        <v>246</v>
      </c>
      <c r="H89" t="s">
        <v>321</v>
      </c>
    </row>
    <row r="90" spans="1:8" x14ac:dyDescent="0.25">
      <c r="A90">
        <v>27</v>
      </c>
      <c r="B90" t="s">
        <v>421</v>
      </c>
      <c r="C90" t="s">
        <v>422</v>
      </c>
      <c r="D90" t="s">
        <v>423</v>
      </c>
      <c r="E90" t="s">
        <v>424</v>
      </c>
      <c r="F90" t="s">
        <v>325</v>
      </c>
      <c r="G90" t="s">
        <v>270</v>
      </c>
      <c r="H90" t="s">
        <v>321</v>
      </c>
    </row>
    <row r="91" spans="1:8" x14ac:dyDescent="0.25">
      <c r="A91">
        <v>28</v>
      </c>
      <c r="B91" t="s">
        <v>421</v>
      </c>
      <c r="C91" t="s">
        <v>425</v>
      </c>
      <c r="D91" t="s">
        <v>426</v>
      </c>
      <c r="E91" t="s">
        <v>427</v>
      </c>
      <c r="F91" t="s">
        <v>159</v>
      </c>
      <c r="G91" t="s">
        <v>270</v>
      </c>
      <c r="H91" t="s">
        <v>321</v>
      </c>
    </row>
    <row r="92" spans="1:8" x14ac:dyDescent="0.25">
      <c r="A92">
        <v>29</v>
      </c>
      <c r="B92" t="s">
        <v>421</v>
      </c>
      <c r="C92" t="s">
        <v>428</v>
      </c>
      <c r="D92" t="s">
        <v>429</v>
      </c>
      <c r="E92" t="s">
        <v>430</v>
      </c>
      <c r="F92" t="s">
        <v>159</v>
      </c>
      <c r="G92" t="s">
        <v>431</v>
      </c>
      <c r="H92" t="s">
        <v>321</v>
      </c>
    </row>
    <row r="93" spans="1:8" x14ac:dyDescent="0.25">
      <c r="A93">
        <v>30</v>
      </c>
      <c r="B93" t="s">
        <v>432</v>
      </c>
      <c r="C93" t="s">
        <v>433</v>
      </c>
      <c r="D93" t="s">
        <v>434</v>
      </c>
      <c r="E93" t="s">
        <v>435</v>
      </c>
      <c r="F93" t="s">
        <v>436</v>
      </c>
      <c r="G93" t="s">
        <v>270</v>
      </c>
      <c r="H93" t="s">
        <v>321</v>
      </c>
    </row>
    <row r="95" spans="1:8" x14ac:dyDescent="0.25">
      <c r="A95" s="10" t="s">
        <v>437</v>
      </c>
    </row>
    <row r="96" spans="1:8" x14ac:dyDescent="0.25">
      <c r="A96" s="11" t="s">
        <v>311</v>
      </c>
      <c r="B96" s="11" t="s">
        <v>438</v>
      </c>
      <c r="C96" s="11" t="s">
        <v>439</v>
      </c>
      <c r="D96" s="11" t="s">
        <v>440</v>
      </c>
      <c r="E96" s="11" t="s">
        <v>441</v>
      </c>
      <c r="F96" s="11" t="s">
        <v>442</v>
      </c>
      <c r="G96" s="11" t="s">
        <v>10</v>
      </c>
      <c r="H96" s="11" t="s">
        <v>221</v>
      </c>
    </row>
    <row r="97" spans="1:8" x14ac:dyDescent="0.25">
      <c r="A97" t="s">
        <v>443</v>
      </c>
      <c r="B97" s="12">
        <v>1</v>
      </c>
      <c r="C97" s="12">
        <v>1</v>
      </c>
      <c r="D97" t="e">
        <f>VALUE(LEFT(C97,LEN(C97)-1))-VALUE(LEFT(B97,LEN(B97)-1))&amp;"%"</f>
        <v>#VALUE!</v>
      </c>
      <c r="E97" t="s">
        <v>444</v>
      </c>
      <c r="F97" t="s">
        <v>444</v>
      </c>
      <c r="G97" t="s">
        <v>445</v>
      </c>
      <c r="H97" t="s">
        <v>159</v>
      </c>
    </row>
    <row r="98" spans="1:8" x14ac:dyDescent="0.25">
      <c r="A98" t="s">
        <v>49</v>
      </c>
      <c r="B98" s="12">
        <v>0.4</v>
      </c>
      <c r="C98" s="12">
        <v>0.85</v>
      </c>
      <c r="D98" s="12">
        <v>0.45</v>
      </c>
      <c r="E98" t="s">
        <v>446</v>
      </c>
      <c r="F98" t="s">
        <v>447</v>
      </c>
      <c r="G98" t="s">
        <v>448</v>
      </c>
      <c r="H98" t="s">
        <v>228</v>
      </c>
    </row>
    <row r="99" spans="1:8" x14ac:dyDescent="0.25">
      <c r="A99" t="s">
        <v>449</v>
      </c>
      <c r="B99" s="12">
        <v>0.7</v>
      </c>
      <c r="C99" s="12">
        <v>0.9</v>
      </c>
      <c r="D99" s="12">
        <v>0.2</v>
      </c>
      <c r="E99" t="s">
        <v>450</v>
      </c>
      <c r="F99" t="s">
        <v>451</v>
      </c>
      <c r="G99" t="s">
        <v>452</v>
      </c>
      <c r="H99" t="s">
        <v>246</v>
      </c>
    </row>
    <row r="100" spans="1:8" x14ac:dyDescent="0.25">
      <c r="A100" t="s">
        <v>453</v>
      </c>
      <c r="B100" s="12">
        <v>0.2</v>
      </c>
      <c r="C100" s="12">
        <v>0.7</v>
      </c>
      <c r="D100" s="12">
        <v>0.5</v>
      </c>
      <c r="E100" t="s">
        <v>454</v>
      </c>
      <c r="F100" t="s">
        <v>455</v>
      </c>
      <c r="G100" t="s">
        <v>456</v>
      </c>
      <c r="H100" t="s">
        <v>228</v>
      </c>
    </row>
    <row r="101" spans="1:8" x14ac:dyDescent="0.25">
      <c r="A101" t="s">
        <v>457</v>
      </c>
      <c r="B101" s="12">
        <v>0.35</v>
      </c>
      <c r="C101" s="12">
        <v>0.8</v>
      </c>
      <c r="D101" s="12">
        <v>0.45</v>
      </c>
      <c r="E101" t="s">
        <v>458</v>
      </c>
      <c r="F101" t="s">
        <v>459</v>
      </c>
      <c r="G101" t="s">
        <v>460</v>
      </c>
      <c r="H101" t="s">
        <v>246</v>
      </c>
    </row>
    <row r="102" spans="1:8" x14ac:dyDescent="0.25">
      <c r="A102" t="s">
        <v>461</v>
      </c>
      <c r="B102" s="12">
        <v>0.25</v>
      </c>
      <c r="C102" s="12">
        <v>0.7</v>
      </c>
      <c r="D102" s="12">
        <v>0.45</v>
      </c>
      <c r="E102" t="s">
        <v>462</v>
      </c>
      <c r="F102" t="s">
        <v>463</v>
      </c>
      <c r="G102" t="s">
        <v>456</v>
      </c>
      <c r="H102" t="s">
        <v>246</v>
      </c>
    </row>
    <row r="103" spans="1:8" x14ac:dyDescent="0.25">
      <c r="A103" t="s">
        <v>406</v>
      </c>
      <c r="B103" s="12">
        <v>0.9</v>
      </c>
      <c r="C103" s="12">
        <v>0.95</v>
      </c>
      <c r="D103" s="12">
        <v>0.05</v>
      </c>
      <c r="E103" t="s">
        <v>464</v>
      </c>
      <c r="F103" t="s">
        <v>465</v>
      </c>
      <c r="G103" t="s">
        <v>452</v>
      </c>
      <c r="H103" t="s">
        <v>431</v>
      </c>
    </row>
    <row r="104" spans="1:8" x14ac:dyDescent="0.25">
      <c r="A104" t="s">
        <v>466</v>
      </c>
      <c r="B104" s="12">
        <v>0.3</v>
      </c>
      <c r="C104" s="12">
        <v>0.8</v>
      </c>
      <c r="D104" s="12">
        <v>0.5</v>
      </c>
      <c r="E104" t="s">
        <v>467</v>
      </c>
      <c r="F104" t="s">
        <v>468</v>
      </c>
      <c r="G104" t="s">
        <v>456</v>
      </c>
      <c r="H104" t="s">
        <v>228</v>
      </c>
    </row>
    <row r="106" spans="1:8" x14ac:dyDescent="0.25">
      <c r="A106" s="13" t="s">
        <v>469</v>
      </c>
      <c r="B106" s="14">
        <v>0.51</v>
      </c>
      <c r="C106" s="14">
        <v>0.84</v>
      </c>
      <c r="D106" s="14">
        <v>0.33</v>
      </c>
      <c r="E106" s="13" t="s">
        <v>470</v>
      </c>
      <c r="F106" s="13" t="s">
        <v>471</v>
      </c>
      <c r="G106" s="13" t="s">
        <v>448</v>
      </c>
      <c r="H106" s="13" t="s">
        <v>472</v>
      </c>
    </row>
    <row r="108" spans="1:8" x14ac:dyDescent="0.25">
      <c r="A108" s="15" t="s">
        <v>473</v>
      </c>
    </row>
    <row r="109" spans="1:8" x14ac:dyDescent="0.25">
      <c r="A109" s="7" t="s">
        <v>474</v>
      </c>
      <c r="B109" s="7" t="s">
        <v>475</v>
      </c>
      <c r="C109" s="7" t="s">
        <v>476</v>
      </c>
      <c r="D109" s="7" t="s">
        <v>477</v>
      </c>
      <c r="E109" s="7" t="s">
        <v>478</v>
      </c>
      <c r="F109" s="7" t="s">
        <v>479</v>
      </c>
      <c r="G109" s="7" t="s">
        <v>480</v>
      </c>
      <c r="H109" s="7" t="s">
        <v>481</v>
      </c>
    </row>
    <row r="110" spans="1:8" x14ac:dyDescent="0.25">
      <c r="A110">
        <v>0.1</v>
      </c>
      <c r="B110">
        <f t="shared" ref="B110:B116" si="0">1/SQRT(1-A110^2)</f>
        <v>1.0050378152592121</v>
      </c>
      <c r="C110">
        <f t="shared" ref="C110:C116" si="1">MIN(B110,17)</f>
        <v>1.0050378152592121</v>
      </c>
      <c r="D110">
        <f t="shared" ref="D110:D116" si="2">B110</f>
        <v>1.0050378152592121</v>
      </c>
      <c r="E110">
        <f t="shared" ref="E110:E116" si="3">B110*(1+$C$6*B110/17)</f>
        <v>1.0426816263218945</v>
      </c>
      <c r="F110">
        <f t="shared" ref="F110:F116" si="4">B110</f>
        <v>1.0050378152592121</v>
      </c>
      <c r="G110">
        <f t="shared" ref="G110:G116" si="5">B110*(1-$C$15)</f>
        <v>0.63673702456712988</v>
      </c>
      <c r="H110">
        <f t="shared" ref="H110:H116" si="6">(E110-D110)/D110*100</f>
        <v>3.7455119092184228</v>
      </c>
    </row>
    <row r="111" spans="1:8" x14ac:dyDescent="0.25">
      <c r="A111">
        <v>0.5</v>
      </c>
      <c r="B111">
        <f t="shared" si="0"/>
        <v>1.1547005383792517</v>
      </c>
      <c r="C111">
        <f t="shared" si="1"/>
        <v>1.1547005383792517</v>
      </c>
      <c r="D111">
        <f t="shared" si="2"/>
        <v>1.1547005383792517</v>
      </c>
      <c r="E111">
        <f t="shared" si="3"/>
        <v>1.2043903689819924</v>
      </c>
      <c r="F111">
        <f t="shared" si="4"/>
        <v>1.1547005383792517</v>
      </c>
      <c r="G111">
        <f t="shared" si="5"/>
        <v>0.7315551453992204</v>
      </c>
      <c r="H111">
        <f t="shared" si="6"/>
        <v>4.3032655611718855</v>
      </c>
    </row>
    <row r="112" spans="1:8" x14ac:dyDescent="0.25">
      <c r="A112">
        <v>0.9</v>
      </c>
      <c r="B112">
        <f t="shared" si="0"/>
        <v>2.294157338705618</v>
      </c>
      <c r="C112">
        <f t="shared" si="1"/>
        <v>2.294157338705618</v>
      </c>
      <c r="D112">
        <f t="shared" si="2"/>
        <v>2.294157338705618</v>
      </c>
      <c r="E112">
        <f t="shared" si="3"/>
        <v>2.4903014068743312</v>
      </c>
      <c r="F112">
        <f t="shared" si="4"/>
        <v>2.294157338705618</v>
      </c>
      <c r="G112">
        <f t="shared" si="5"/>
        <v>1.4534526915880353</v>
      </c>
      <c r="H112">
        <f t="shared" si="6"/>
        <v>8.5497217152237379</v>
      </c>
    </row>
    <row r="113" spans="1:8" x14ac:dyDescent="0.25">
      <c r="A113">
        <v>0.99</v>
      </c>
      <c r="B113">
        <f t="shared" si="0"/>
        <v>7.0888120500833542</v>
      </c>
      <c r="C113">
        <f t="shared" si="1"/>
        <v>7.0888120500833542</v>
      </c>
      <c r="D113">
        <f t="shared" si="2"/>
        <v>7.0888120500833542</v>
      </c>
      <c r="E113">
        <f t="shared" si="3"/>
        <v>8.9615443592318691</v>
      </c>
      <c r="F113">
        <f t="shared" si="4"/>
        <v>7.0888120500833542</v>
      </c>
      <c r="G113">
        <f t="shared" si="5"/>
        <v>4.4910838417771854</v>
      </c>
      <c r="H113">
        <f t="shared" si="6"/>
        <v>26.418140245748145</v>
      </c>
    </row>
    <row r="114" spans="1:8" x14ac:dyDescent="0.25">
      <c r="A114">
        <v>0.999</v>
      </c>
      <c r="B114">
        <f t="shared" si="0"/>
        <v>22.366272042129371</v>
      </c>
      <c r="C114">
        <f t="shared" si="1"/>
        <v>17</v>
      </c>
      <c r="D114">
        <f t="shared" si="2"/>
        <v>22.366272042129371</v>
      </c>
      <c r="E114">
        <f t="shared" si="3"/>
        <v>41.009280022147379</v>
      </c>
      <c r="F114">
        <f t="shared" si="4"/>
        <v>22.366272042129371</v>
      </c>
      <c r="G114">
        <f t="shared" si="5"/>
        <v>14.170047429599842</v>
      </c>
      <c r="H114">
        <f t="shared" si="6"/>
        <v>83.353220174116728</v>
      </c>
    </row>
    <row r="115" spans="1:8" x14ac:dyDescent="0.25">
      <c r="A115">
        <v>0.99990000000000001</v>
      </c>
      <c r="B115">
        <f t="shared" si="0"/>
        <v>70.712445951914518</v>
      </c>
      <c r="C115">
        <f t="shared" si="1"/>
        <v>17</v>
      </c>
      <c r="D115">
        <f t="shared" si="2"/>
        <v>70.712445951914518</v>
      </c>
      <c r="E115">
        <f t="shared" si="3"/>
        <v>257.05862802136284</v>
      </c>
      <c r="F115">
        <f t="shared" si="4"/>
        <v>70.712445951914518</v>
      </c>
      <c r="G115">
        <f t="shared" si="5"/>
        <v>44.799540625915114</v>
      </c>
      <c r="H115">
        <f t="shared" si="6"/>
        <v>263.52670956420661</v>
      </c>
    </row>
    <row r="116" spans="1:8" x14ac:dyDescent="0.25">
      <c r="A116">
        <v>0.99999000000000005</v>
      </c>
      <c r="B116">
        <f t="shared" si="0"/>
        <v>223.60735676962474</v>
      </c>
      <c r="C116">
        <f t="shared" si="1"/>
        <v>17</v>
      </c>
      <c r="D116">
        <f t="shared" si="2"/>
        <v>223.60735676962474</v>
      </c>
      <c r="E116">
        <f t="shared" si="3"/>
        <v>2086.9853212714734</v>
      </c>
      <c r="F116">
        <f t="shared" si="4"/>
        <v>223.60735676962474</v>
      </c>
      <c r="G116">
        <f t="shared" si="5"/>
        <v>141.66539891246794</v>
      </c>
      <c r="H116">
        <f t="shared" si="6"/>
        <v>833.32587595569373</v>
      </c>
    </row>
    <row r="118" spans="1:8" x14ac:dyDescent="0.25">
      <c r="A118" s="16" t="s">
        <v>482</v>
      </c>
    </row>
    <row r="120" spans="1:8" x14ac:dyDescent="0.25">
      <c r="A120" s="17" t="s">
        <v>483</v>
      </c>
    </row>
    <row r="121" spans="1:8" x14ac:dyDescent="0.25">
      <c r="A121" s="18" t="s">
        <v>484</v>
      </c>
      <c r="B121" s="18" t="s">
        <v>485</v>
      </c>
      <c r="C121" s="18" t="s">
        <v>486</v>
      </c>
      <c r="D121" s="18" t="s">
        <v>487</v>
      </c>
      <c r="E121" s="18" t="s">
        <v>221</v>
      </c>
      <c r="F121" s="18" t="s">
        <v>488</v>
      </c>
      <c r="G121" s="18" t="s">
        <v>489</v>
      </c>
      <c r="H121" s="18" t="s">
        <v>490</v>
      </c>
    </row>
    <row r="122" spans="1:8" x14ac:dyDescent="0.25">
      <c r="A122">
        <v>1</v>
      </c>
      <c r="B122" t="s">
        <v>293</v>
      </c>
      <c r="C122" t="s">
        <v>491</v>
      </c>
      <c r="D122" t="s">
        <v>492</v>
      </c>
      <c r="E122">
        <v>1</v>
      </c>
      <c r="F122" t="s">
        <v>159</v>
      </c>
      <c r="G122" t="s">
        <v>493</v>
      </c>
      <c r="H122" t="s">
        <v>494</v>
      </c>
    </row>
    <row r="123" spans="1:8" x14ac:dyDescent="0.25">
      <c r="A123">
        <v>2</v>
      </c>
      <c r="B123" t="s">
        <v>222</v>
      </c>
      <c r="C123" t="s">
        <v>495</v>
      </c>
      <c r="D123" t="s">
        <v>492</v>
      </c>
      <c r="E123">
        <v>2</v>
      </c>
      <c r="F123" t="s">
        <v>496</v>
      </c>
      <c r="G123" t="s">
        <v>497</v>
      </c>
      <c r="H123" t="s">
        <v>498</v>
      </c>
    </row>
    <row r="124" spans="1:8" x14ac:dyDescent="0.25">
      <c r="A124">
        <v>3</v>
      </c>
      <c r="B124" t="s">
        <v>499</v>
      </c>
      <c r="C124" t="s">
        <v>500</v>
      </c>
      <c r="D124" t="s">
        <v>501</v>
      </c>
      <c r="E124">
        <v>3</v>
      </c>
      <c r="F124" t="s">
        <v>502</v>
      </c>
      <c r="G124" t="s">
        <v>503</v>
      </c>
      <c r="H124" t="s">
        <v>504</v>
      </c>
    </row>
    <row r="125" spans="1:8" x14ac:dyDescent="0.25">
      <c r="A125">
        <v>4</v>
      </c>
      <c r="B125" t="s">
        <v>505</v>
      </c>
      <c r="C125" t="s">
        <v>348</v>
      </c>
      <c r="D125" t="s">
        <v>501</v>
      </c>
      <c r="E125">
        <v>4</v>
      </c>
      <c r="F125" t="s">
        <v>506</v>
      </c>
      <c r="G125" t="s">
        <v>507</v>
      </c>
      <c r="H125" t="s">
        <v>508</v>
      </c>
    </row>
    <row r="126" spans="1:8" x14ac:dyDescent="0.25">
      <c r="A126">
        <v>5</v>
      </c>
      <c r="B126" t="s">
        <v>509</v>
      </c>
      <c r="C126" t="s">
        <v>510</v>
      </c>
      <c r="D126" t="s">
        <v>501</v>
      </c>
      <c r="E126">
        <v>5</v>
      </c>
      <c r="F126" t="s">
        <v>511</v>
      </c>
      <c r="G126" t="s">
        <v>512</v>
      </c>
      <c r="H126" t="s">
        <v>513</v>
      </c>
    </row>
    <row r="127" spans="1:8" x14ac:dyDescent="0.25">
      <c r="A127">
        <v>6</v>
      </c>
      <c r="B127" t="s">
        <v>514</v>
      </c>
      <c r="C127" t="s">
        <v>515</v>
      </c>
      <c r="D127" t="s">
        <v>516</v>
      </c>
      <c r="E127">
        <v>6</v>
      </c>
      <c r="F127" t="s">
        <v>496</v>
      </c>
      <c r="G127" t="s">
        <v>517</v>
      </c>
      <c r="H127" t="s">
        <v>518</v>
      </c>
    </row>
    <row r="128" spans="1:8" x14ac:dyDescent="0.25">
      <c r="A128">
        <v>7</v>
      </c>
      <c r="B128" t="s">
        <v>466</v>
      </c>
      <c r="C128" t="s">
        <v>519</v>
      </c>
      <c r="D128" t="s">
        <v>492</v>
      </c>
      <c r="E128">
        <v>7</v>
      </c>
      <c r="F128" t="s">
        <v>520</v>
      </c>
      <c r="G128" t="s">
        <v>400</v>
      </c>
      <c r="H128" t="s">
        <v>521</v>
      </c>
    </row>
    <row r="129" spans="1:8" x14ac:dyDescent="0.25">
      <c r="A129">
        <v>8</v>
      </c>
      <c r="B129" t="s">
        <v>522</v>
      </c>
      <c r="C129" t="s">
        <v>523</v>
      </c>
      <c r="D129" t="s">
        <v>501</v>
      </c>
      <c r="E129">
        <v>8</v>
      </c>
      <c r="F129" t="s">
        <v>524</v>
      </c>
      <c r="G129" t="s">
        <v>525</v>
      </c>
      <c r="H129" t="s">
        <v>526</v>
      </c>
    </row>
    <row r="130" spans="1:8" x14ac:dyDescent="0.25">
      <c r="A130">
        <v>9</v>
      </c>
      <c r="B130" t="s">
        <v>527</v>
      </c>
      <c r="C130" t="s">
        <v>528</v>
      </c>
      <c r="D130" t="s">
        <v>529</v>
      </c>
      <c r="E130">
        <v>9</v>
      </c>
      <c r="F130" t="s">
        <v>530</v>
      </c>
      <c r="G130" t="s">
        <v>531</v>
      </c>
      <c r="H130" t="s">
        <v>532</v>
      </c>
    </row>
    <row r="132" spans="1:8" x14ac:dyDescent="0.25">
      <c r="A132" s="19" t="s">
        <v>533</v>
      </c>
    </row>
    <row r="133" spans="1:8" x14ac:dyDescent="0.25">
      <c r="A133" s="19" t="s">
        <v>534</v>
      </c>
    </row>
    <row r="134" spans="1:8" x14ac:dyDescent="0.25">
      <c r="A134" s="19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 Tam Analiz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2026-04-23T11:00:21Z</dcterms:created>
  <dcterms:modified xsi:type="dcterms:W3CDTF">2026-04-23T11:00:21Z</dcterms:modified>
</cp:coreProperties>
</file>