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8DD4B2F2-245C-4DDF-899D-E9CDBB973FDF}" xr6:coauthVersionLast="47" xr6:coauthVersionMax="47" xr10:uidLastSave="{00000000-0000-0000-0000-000000000000}"/>
  <bookViews>
    <workbookView xWindow="-120" yWindow="-120" windowWidth="29040" windowHeight="15720" xr2:uid="{A2912AC5-5093-42E2-8BC7-7FA4D59A3381}"/>
  </bookViews>
  <sheets>
    <sheet name="Fibonacci-17 Anal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2" i="1" l="1"/>
  <c r="C90" i="1"/>
  <c r="C89" i="1"/>
  <c r="C86" i="1"/>
  <c r="C85" i="1"/>
  <c r="C80" i="1"/>
  <c r="D70" i="1"/>
  <c r="D69" i="1"/>
  <c r="D68" i="1"/>
  <c r="D67" i="1"/>
  <c r="D66" i="1"/>
  <c r="D65" i="1"/>
  <c r="D61" i="1"/>
  <c r="D60" i="1"/>
  <c r="D59" i="1"/>
  <c r="D58" i="1"/>
  <c r="D57" i="1"/>
  <c r="D56" i="1"/>
  <c r="D55" i="1"/>
  <c r="D54" i="1"/>
  <c r="E48" i="1"/>
  <c r="D48" i="1"/>
  <c r="E47" i="1"/>
  <c r="D47" i="1"/>
  <c r="E46" i="1"/>
  <c r="E45" i="1"/>
  <c r="E44" i="1"/>
  <c r="E43" i="1"/>
  <c r="E42" i="1"/>
  <c r="D38" i="1"/>
  <c r="C38" i="1"/>
  <c r="D37" i="1"/>
  <c r="C37" i="1"/>
  <c r="D36" i="1"/>
  <c r="C36" i="1"/>
  <c r="D34" i="1"/>
  <c r="D30" i="1"/>
  <c r="C30" i="1"/>
  <c r="C26" i="1"/>
  <c r="C25" i="1"/>
  <c r="C24" i="1"/>
  <c r="C23" i="1"/>
  <c r="C22" i="1"/>
  <c r="C21" i="1"/>
  <c r="C20" i="1"/>
</calcChain>
</file>

<file path=xl/sharedStrings.xml><?xml version="1.0" encoding="utf-8"?>
<sst xmlns="http://schemas.openxmlformats.org/spreadsheetml/2006/main" count="549" uniqueCount="385">
  <si>
    <t>🎯 KRİTİK SONUÇ: (F7 + F8) / 2 = (13 + 21) / 2 = 17 ✅</t>
  </si>
  <si>
    <t>Hesaplama</t>
  </si>
  <si>
    <t>Formül</t>
  </si>
  <si>
    <t>Değer</t>
  </si>
  <si>
    <t>Fiziksel Anlam</t>
  </si>
  <si>
    <t>Durum</t>
  </si>
  <si>
    <t>F7 (7. Fibonacci)</t>
  </si>
  <si>
    <t>7. Fibonacci sayısı</t>
  </si>
  <si>
    <t>✅</t>
  </si>
  <si>
    <t>F8 (8. Fibonacci)</t>
  </si>
  <si>
    <t>8. Fibonacci sayısı</t>
  </si>
  <si>
    <t>F7 + F8</t>
  </si>
  <si>
    <t>13+21</t>
  </si>
  <si>
    <t>Toplam</t>
  </si>
  <si>
    <t>(F7 + F8) / 2</t>
  </si>
  <si>
    <t>(13+21)/2</t>
  </si>
  <si>
    <t>17-boyut temeli</t>
  </si>
  <si>
    <t>✅ KRİTİK</t>
  </si>
  <si>
    <t>F7/F8 (φ⁻¹ yakınsaması)</t>
  </si>
  <si>
    <t>13/21</t>
  </si>
  <si>
    <t>≈ 0.619 (φ⁻¹=0.618)</t>
  </si>
  <si>
    <t>F8/F7 (φ yakınsaması)</t>
  </si>
  <si>
    <t>21/13</t>
  </si>
  <si>
    <t>≈ 1.615 (φ=1.618)</t>
  </si>
  <si>
    <t>17 = 7. asal sayı</t>
  </si>
  <si>
    <t>prime(7)</t>
  </si>
  <si>
    <t>Asal sayı dizisinde</t>
  </si>
  <si>
    <t>📊 BÖLÜM 2: CLİFFORD CEBRİ Cl(1,3) VE 16-BOYUT YAPISI</t>
  </si>
  <si>
    <t>Yapı</t>
  </si>
  <si>
    <t>Matematiksel İfade</t>
  </si>
  <si>
    <t>Boyut</t>
  </si>
  <si>
    <t>UST Karşılığı</t>
  </si>
  <si>
    <t>Clifford Cebri Cl(p,q)</t>
  </si>
  <si>
    <t>dim = 2^(p+q)</t>
  </si>
  <si>
    <t>Q₁₆</t>
  </si>
  <si>
    <t>4D uzay-zaman cebri</t>
  </si>
  <si>
    <t>Minkowski uzay (p,q)</t>
  </si>
  <si>
    <t>(1,3) imza</t>
  </si>
  <si>
    <t>-</t>
  </si>
  <si>
    <t>1 zaman + 3 uzay</t>
  </si>
  <si>
    <t>γ-matrisleri</t>
  </si>
  <si>
    <t>γ⁰,γ¹,γ²,γ³</t>
  </si>
  <si>
    <t>Dirac matrisleri</t>
  </si>
  <si>
    <t>Dirac spinör</t>
  </si>
  <si>
    <t>ψ ∈ ℂ⁴</t>
  </si>
  <si>
    <t>4 bileşenli spinör</t>
  </si>
  <si>
    <t>Spinör × Spinör</t>
  </si>
  <si>
    <t>4 × 4</t>
  </si>
  <si>
    <t>Tüm kombinasyonlar</t>
  </si>
  <si>
    <t>SU(1) trivial grup</t>
  </si>
  <si>
    <t>{e}</t>
  </si>
  <si>
    <t>O₁</t>
  </si>
  <si>
    <t>Omnium durumu</t>
  </si>
  <si>
    <t>dim SU(n)</t>
  </si>
  <si>
    <t>n² - 1</t>
  </si>
  <si>
    <t>SU(1) → 0 jeneratör</t>
  </si>
  <si>
    <t>Q₁₆ ⊔ O₁</t>
  </si>
  <si>
    <t>16 + 1</t>
  </si>
  <si>
    <t>F</t>
  </si>
  <si>
    <t>UST fiber yapısı</t>
  </si>
  <si>
    <t>Cl(1,3) + SU(1)</t>
  </si>
  <si>
    <t>17-DOF</t>
  </si>
  <si>
    <t>Toplam serbestlik</t>
  </si>
  <si>
    <t>📊 BÖLÜM 3: FİBONACCİ-CLİFFORD-17 SENTEZİ</t>
  </si>
  <si>
    <t>#</t>
  </si>
  <si>
    <t>Kaynak 1</t>
  </si>
  <si>
    <t>Kaynak 2</t>
  </si>
  <si>
    <t>İşlem</t>
  </si>
  <si>
    <t>Sonuç</t>
  </si>
  <si>
    <t>17 ile İlişki</t>
  </si>
  <si>
    <t>Anlam</t>
  </si>
  <si>
    <t>S1</t>
  </si>
  <si>
    <t>F7 = 13</t>
  </si>
  <si>
    <t>F8 = 21</t>
  </si>
  <si>
    <t>(F7+F8)/2</t>
  </si>
  <si>
    <t>TAM EŞİT</t>
  </si>
  <si>
    <t>Fibonacci ortası</t>
  </si>
  <si>
    <t>S2</t>
  </si>
  <si>
    <t>Cl(1,3) = 16</t>
  </si>
  <si>
    <t>SU(1) = 1</t>
  </si>
  <si>
    <t>Clifford + Omnium</t>
  </si>
  <si>
    <t>S3</t>
  </si>
  <si>
    <t>Q₁₆ = 16</t>
  </si>
  <si>
    <t>O₁ = 1</t>
  </si>
  <si>
    <t>UST fiber</t>
  </si>
  <si>
    <t>S4</t>
  </si>
  <si>
    <t>2⁴ = 16</t>
  </si>
  <si>
    <t>2⁰ = 1</t>
  </si>
  <si>
    <t>2⁴ + 2⁰</t>
  </si>
  <si>
    <t>Binary yapı</t>
  </si>
  <si>
    <t>S5</t>
  </si>
  <si>
    <t>4×4 matris</t>
  </si>
  <si>
    <t>1 skaler</t>
  </si>
  <si>
    <t>Dirac + Omnium</t>
  </si>
  <si>
    <t>S6</t>
  </si>
  <si>
    <t>Fermat F4</t>
  </si>
  <si>
    <t>2⁴+1</t>
  </si>
  <si>
    <t>4. Fermat asalı</t>
  </si>
  <si>
    <t>S7</t>
  </si>
  <si>
    <t>SM parçacık</t>
  </si>
  <si>
    <t>6q+6l+4g+H</t>
  </si>
  <si>
    <t>Standart Model</t>
  </si>
  <si>
    <t>🔑 KRİTİK FORMÜL: (F7 + F8)/2 = Cl(1,3) + SU(1) = Q₁₆ + O₁ = 17</t>
  </si>
  <si>
    <t>📊 BÖLÜM 4: 17 - MATEMATİKSEL ÖZELLİKLER VE İLİŞKİLER</t>
  </si>
  <si>
    <t>Özellik</t>
  </si>
  <si>
    <t>Formül/Değer</t>
  </si>
  <si>
    <t>M1</t>
  </si>
  <si>
    <t>prime(7) = 17</t>
  </si>
  <si>
    <t>Temel yapı taşı</t>
  </si>
  <si>
    <t>M2</t>
  </si>
  <si>
    <t>17 = 4. Fermat asalı</t>
  </si>
  <si>
    <t>2^(2^n)+1, n=2</t>
  </si>
  <si>
    <t>İkili simetri</t>
  </si>
  <si>
    <t>M3</t>
  </si>
  <si>
    <t>17 = (F7+F8)/2</t>
  </si>
  <si>
    <t>M4</t>
  </si>
  <si>
    <t>17 - 16 = 1</t>
  </si>
  <si>
    <t>Cl(1,3) farkı</t>
  </si>
  <si>
    <t>Omnium katkısı</t>
  </si>
  <si>
    <t>M5</t>
  </si>
  <si>
    <t>1/17 = a₂</t>
  </si>
  <si>
    <t>0.0588...</t>
  </si>
  <si>
    <t>Heat kernel katsayısı</t>
  </si>
  <si>
    <t>⚠️ POSTÜLA</t>
  </si>
  <si>
    <t>M6</t>
  </si>
  <si>
    <t>α/17</t>
  </si>
  <si>
    <t>ince yapı/17</t>
  </si>
  <si>
    <t>UST düzeltme terimi</t>
  </si>
  <si>
    <t>M7</t>
  </si>
  <si>
    <t>17 mod 6 = 5</t>
  </si>
  <si>
    <t>asal form</t>
  </si>
  <si>
    <t>6k±1 formu</t>
  </si>
  <si>
    <t>M8</t>
  </si>
  <si>
    <t>√17 ≈ 4.123</t>
  </si>
  <si>
    <t>irrasyonel</t>
  </si>
  <si>
    <t>Kuadratik</t>
  </si>
  <si>
    <t>📊 BÖLÜM 5: ALTIN ORAN (φ) VE FİBONACCİ-17 DERİN BAĞLANTISI</t>
  </si>
  <si>
    <t>İlişki</t>
  </si>
  <si>
    <t>17 Bağlantısı</t>
  </si>
  <si>
    <t>UST Rolü</t>
  </si>
  <si>
    <t>φ1</t>
  </si>
  <si>
    <t>Altın Oran φ</t>
  </si>
  <si>
    <t>(1+√5)/2</t>
  </si>
  <si>
    <t>F8/F7 → φ</t>
  </si>
  <si>
    <t>Evrensel oran</t>
  </si>
  <si>
    <t>φ2</t>
  </si>
  <si>
    <t>φ yakınsaması F8/F7</t>
  </si>
  <si>
    <t>1.615 ≈ φ</t>
  </si>
  <si>
    <t>Fibonacci yakınsama</t>
  </si>
  <si>
    <t>φ3</t>
  </si>
  <si>
    <t>φ⁻¹ yakınsaması F7/F8</t>
  </si>
  <si>
    <t>0.619 ≈ φ⁻¹</t>
  </si>
  <si>
    <t>Ters oran</t>
  </si>
  <si>
    <t>φ4</t>
  </si>
  <si>
    <t>F7 × φ ≈ ?</t>
  </si>
  <si>
    <t>13 × φ</t>
  </si>
  <si>
    <t>≈ 21.03 ≈ F8</t>
  </si>
  <si>
    <t>Fibonacci ilişkisi</t>
  </si>
  <si>
    <t>φ5</t>
  </si>
  <si>
    <t>17 / φ</t>
  </si>
  <si>
    <t>17/φ</t>
  </si>
  <si>
    <t>≈ 10.51</t>
  </si>
  <si>
    <t>Altın bölüm</t>
  </si>
  <si>
    <t>φ6</t>
  </si>
  <si>
    <t>17 × φ</t>
  </si>
  <si>
    <t>17×φ</t>
  </si>
  <si>
    <t>≈ 27.50</t>
  </si>
  <si>
    <t>Altın genişleme</t>
  </si>
  <si>
    <t>φ7</t>
  </si>
  <si>
    <t>φ8</t>
  </si>
  <si>
    <t>Ns,q / φ</t>
  </si>
  <si>
    <t>0.6335/1.618</t>
  </si>
  <si>
    <t>UST-φ ilişkisi</t>
  </si>
  <si>
    <t>⚠️</t>
  </si>
  <si>
    <t>📊 BÖLÜM 6: STANDART MODEL - 17 TEMEL PARÇACIK</t>
  </si>
  <si>
    <t>Kategori</t>
  </si>
  <si>
    <t>Parçacıklar</t>
  </si>
  <si>
    <t>Sayı</t>
  </si>
  <si>
    <t>Spin</t>
  </si>
  <si>
    <t>UST</t>
  </si>
  <si>
    <t>Not</t>
  </si>
  <si>
    <t>Kuarklar</t>
  </si>
  <si>
    <t>u, d, c, s, t, b</t>
  </si>
  <si>
    <t>Q</t>
  </si>
  <si>
    <t>Fermiyonlar</t>
  </si>
  <si>
    <t>Leptonlar</t>
  </si>
  <si>
    <t>e, μ, τ, νe, νμ, ντ</t>
  </si>
  <si>
    <t>Gauge Bozonları</t>
  </si>
  <si>
    <t>γ, g, W±, Z</t>
  </si>
  <si>
    <t>Vektör</t>
  </si>
  <si>
    <t>Higgs Bozonu</t>
  </si>
  <si>
    <t>H</t>
  </si>
  <si>
    <t>Skaler</t>
  </si>
  <si>
    <t>TOPLAM SM</t>
  </si>
  <si>
    <t>6+6+4+1</t>
  </si>
  <si>
    <t>Q₁₆+1?</t>
  </si>
  <si>
    <t>✅ = 17</t>
  </si>
  <si>
    <t>📊 BÖLÜM 7: TÜM SAYFALARDAN 17 ÖRÜNTÜLERİ - SENTEZ</t>
  </si>
  <si>
    <t>Kaynak Sayfa</t>
  </si>
  <si>
    <t>Örüntü/İlişki</t>
  </si>
  <si>
    <t>Tür</t>
  </si>
  <si>
    <t>Doğrulanabilir</t>
  </si>
  <si>
    <t>Sayfa1</t>
  </si>
  <si>
    <t>DOF = 17</t>
  </si>
  <si>
    <t>17 = Q₁₆ + O₁</t>
  </si>
  <si>
    <t>POSTÜLA</t>
  </si>
  <si>
    <t>❌</t>
  </si>
  <si>
    <t>a₂ = 1/17</t>
  </si>
  <si>
    <t>GR-QFT Analiz</t>
  </si>
  <si>
    <t>α/17 düzeltme</t>
  </si>
  <si>
    <t>Einstein mod. terimi</t>
  </si>
  <si>
    <t>HESAPLAMA</t>
  </si>
  <si>
    <t>UST Tam Analiz</t>
  </si>
  <si>
    <t>17 = 7. Asal</t>
  </si>
  <si>
    <t>Asal sayı dizisi</t>
  </si>
  <si>
    <t>MATEMATİK</t>
  </si>
  <si>
    <t>17 = 2⁴+1 Fermat</t>
  </si>
  <si>
    <t>Fermat asalı</t>
  </si>
  <si>
    <t>Fiber yapısı</t>
  </si>
  <si>
    <t>UST Sentez</t>
  </si>
  <si>
    <t>Clifford cebri</t>
  </si>
  <si>
    <t>SM parçacık = 17</t>
  </si>
  <si>
    <t>GÖZLEM</t>
  </si>
  <si>
    <t>Ns,q formülünde /17</t>
  </si>
  <si>
    <t>Köprü katsayısı</t>
  </si>
  <si>
    <t>Makale Analiz</t>
  </si>
  <si>
    <t>17 zorunlu mu?</t>
  </si>
  <si>
    <t>?</t>
  </si>
  <si>
    <t>Ontolojik soru</t>
  </si>
  <si>
    <t>SORU</t>
  </si>
  <si>
    <t>📊 BÖLÜM 8: 17 KAYNAKLARI - DOĞRULAMA MATRİSİ</t>
  </si>
  <si>
    <t>17 Kaynağı</t>
  </si>
  <si>
    <t>Matematiksel</t>
  </si>
  <si>
    <t>Fiziksel</t>
  </si>
  <si>
    <t>UST Bağlantısı</t>
  </si>
  <si>
    <t>Türetildi mi?</t>
  </si>
  <si>
    <t>Doğrulandı mı?</t>
  </si>
  <si>
    <t>Skor</t>
  </si>
  <si>
    <t>K1</t>
  </si>
  <si>
    <t>(F7+F8)/2 = 17</t>
  </si>
  <si>
    <t>⚠️ Spek.</t>
  </si>
  <si>
    <t>Fibonacci</t>
  </si>
  <si>
    <t>K2</t>
  </si>
  <si>
    <t>Cl(1,3) = 16 → +1=17</t>
  </si>
  <si>
    <t>✅ QFT</t>
  </si>
  <si>
    <t>Q₁₆ + O₁</t>
  </si>
  <si>
    <t>K3</t>
  </si>
  <si>
    <t>2⁴+1 = 17 Fermat</t>
  </si>
  <si>
    <t>K4</t>
  </si>
  <si>
    <t>7. asal sayı</t>
  </si>
  <si>
    <t>❌ Yok</t>
  </si>
  <si>
    <t>Asal özellik</t>
  </si>
  <si>
    <t>K5</t>
  </si>
  <si>
    <t>⚠️ Sayım</t>
  </si>
  <si>
    <t>✅ Gözlem</t>
  </si>
  <si>
    <t>F fiber?</t>
  </si>
  <si>
    <t>K6</t>
  </si>
  <si>
    <t>❌ QFT yok</t>
  </si>
  <si>
    <t>Heat kernel</t>
  </si>
  <si>
    <t>K7</t>
  </si>
  <si>
    <t>α/17 GR düzeltme</t>
  </si>
  <si>
    <t>⚠️ UST</t>
  </si>
  <si>
    <t>⚠️ Test?</t>
  </si>
  <si>
    <t>Einstein mod.</t>
  </si>
  <si>
    <t>K8</t>
  </si>
  <si>
    <t>Q₁₆ ⊔ O₁ = 17</t>
  </si>
  <si>
    <t>✅ Matematik</t>
  </si>
  <si>
    <t>❌ Postüla</t>
  </si>
  <si>
    <t>UST temel</t>
  </si>
  <si>
    <t>ORTALAMA:</t>
  </si>
  <si>
    <t>📊 BÖLÜM 9: KRİTİK ANALİZ - FİBONACCİ'DEN 17 TÜRETİMİ</t>
  </si>
  <si>
    <t>Soru</t>
  </si>
  <si>
    <t>Cevap</t>
  </si>
  <si>
    <t>Kanıt</t>
  </si>
  <si>
    <t>Problem</t>
  </si>
  <si>
    <t>Neden (F7+F8)/2?</t>
  </si>
  <si>
    <t>(13+21)/2 = 17</t>
  </si>
  <si>
    <t>Matematiksel doğru</t>
  </si>
  <si>
    <t>Neden F6+F7 veya F8+F9 değil?</t>
  </si>
  <si>
    <t>Seçim keyfi</t>
  </si>
  <si>
    <t>Neden ortalama?</t>
  </si>
  <si>
    <t>Toplam/2</t>
  </si>
  <si>
    <t>Formül basit</t>
  </si>
  <si>
    <t>Neden toplam (34) veya fark (8)?</t>
  </si>
  <si>
    <t>İşlem keyfi</t>
  </si>
  <si>
    <t>17 fiziksel mi?</t>
  </si>
  <si>
    <t>SM=17 parçacık</t>
  </si>
  <si>
    <t>CERN gözlem</t>
  </si>
  <si>
    <t>Sayım yöntemine bağlı</t>
  </si>
  <si>
    <t>Destekleniyor</t>
  </si>
  <si>
    <t>Cl(1,3)=16 doğru mu?</t>
  </si>
  <si>
    <t>2^4=16 ✅</t>
  </si>
  <si>
    <t>Matematik kesin</t>
  </si>
  <si>
    <t>Bu standart</t>
  </si>
  <si>
    <t>Doğru</t>
  </si>
  <si>
    <t>+1 Omnium zorunlu mu?</t>
  </si>
  <si>
    <t>SU(1)={e}</t>
  </si>
  <si>
    <t>Grup teorisi</t>
  </si>
  <si>
    <t>Dinamik katkısı YOK</t>
  </si>
  <si>
    <t>Postüla</t>
  </si>
  <si>
    <t>a₂=1/17 QFT'de var mı?</t>
  </si>
  <si>
    <t>HAYIR</t>
  </si>
  <si>
    <t>Literatür yok</t>
  </si>
  <si>
    <t>UST-spesifik postüla</t>
  </si>
  <si>
    <t>Doğrulanamaz</t>
  </si>
  <si>
    <t>🎯 FİNAL DEĞERLENDİRME</t>
  </si>
  <si>
    <t>Kısmi</t>
  </si>
  <si>
    <t>Yanlış</t>
  </si>
  <si>
    <t>Oran</t>
  </si>
  <si>
    <t>Fibonacci-17</t>
  </si>
  <si>
    <t>Clifford-17</t>
  </si>
  <si>
    <t>UST-17</t>
  </si>
  <si>
    <t>Fiziksel-17</t>
  </si>
  <si>
    <t>TOPLAM</t>
  </si>
  <si>
    <t>📋 BÖLÜM 10: SONUÇ VE ÖNERİLER</t>
  </si>
  <si>
    <t>✅ DOĞRULANAN İLİŞKİLER</t>
  </si>
  <si>
    <t>1. (F7 + F8) / 2 = (13 + 21) / 2 = 17 → Matematiksel olarak TAM DOĞRU</t>
  </si>
  <si>
    <t>2. Cl(1,3) = 2^4 = 16 → Clifford cebri boyutu TAM DOĞRU</t>
  </si>
  <si>
    <t>3. SU(1) = {e} trivial grup, 0 jeneratör → Grup teorisi TAM DOĞRU</t>
  </si>
  <si>
    <t>4. 16 + 1 = 17 → Aritmetik TAM DOĞRU</t>
  </si>
  <si>
    <t>5. 17 = 7. asal sayı → Sayı teorisi TAM DOĞRU</t>
  </si>
  <si>
    <t>6. 17 = 2^4 + 1 → 4. Fermat asalı TAM DOĞRU</t>
  </si>
  <si>
    <t>7. SM parçacık sayısı = 17 (belirli sayımla) → Fenomenolojik DOĞRU</t>
  </si>
  <si>
    <t>⚠️ POSTÜLA OLAN (TÜRETİLMEMİŞ)</t>
  </si>
  <si>
    <t>1. Neden F7 ve F8? → Seçim gerekçesi YOK</t>
  </si>
  <si>
    <t>2. Neden ortalama? → İşlem seçimi gerekçesi YOK</t>
  </si>
  <si>
    <t>3. Q₁₆ ⊔ O₁ yapısı → Ontolojik POSTÜLA</t>
  </si>
  <si>
    <t>4. a₂ = 1/17 → Standart QFT'de YOK, UST POSTÜLA</t>
  </si>
  <si>
    <t>5. Omnium fiziksel varlık mı? → YANITSIZ</t>
  </si>
  <si>
    <t>❌ ÇÖZÜLMÜŞ SAYILAMAYACAK</t>
  </si>
  <si>
    <t>1. 17-boyut yapısının dinamik türetimi → EKSİK</t>
  </si>
  <si>
    <t>2. Fibonacci → Fizik bağlantısı → SPEKÜLATİF</t>
  </si>
  <si>
    <t>3. Omnium'un deneysel testi → İMKANSIZ (şu an)</t>
  </si>
  <si>
    <t>🔬 FİNAL: FİBONACCİ-CLİFFORD-17 BİRLEŞİK FORMÜLÜ</t>
  </si>
  <si>
    <t>(F₇ + F₈)/2 = (13 + 21)/2 = 17 = Cl(1,3) + SU(1) = Q₁₆ + O₁ = 2⁴ + 1</t>
  </si>
  <si>
    <t>Bu formül 5 farklı matematiksel kaynaktan 17'nin türetilebileceğini gösterir:</t>
  </si>
  <si>
    <t xml:space="preserve">  1. Fibonacci: (F₇ + F₈)/2 = (13+21)/2 = 17</t>
  </si>
  <si>
    <t xml:space="preserve">  2. Clifford: Cl(1,3) = 2⁴ = 16, +1 ekleme → 17</t>
  </si>
  <si>
    <t xml:space="preserve">  3. Grup Teorisi: Q₁₆ (aktif) ⊔ O₁ (pasif) = 17</t>
  </si>
  <si>
    <t xml:space="preserve">  4. İkili: 2⁴ + 2⁰ = 16 + 1 = 17</t>
  </si>
  <si>
    <t xml:space="preserve">  5. Fermat: 4. Fermat asalı = 2^(2²) + 1 = 17</t>
  </si>
  <si>
    <t>⚠️ UYARI: Matematiksel tutarlılık, fiziksel gerçeklik garantisi DEĞİLDİR.</t>
  </si>
  <si>
    <t>17'nin bu matematiksel yapılardan çıkması, UST'nin doğruluğunu kanıtlamaz.</t>
  </si>
  <si>
    <t>Ancak teorinin iç tutarlılığını ve matematiksel motivasyonunu güçlendirir.</t>
  </si>
  <si>
    <t>📊 İSTATİSTİK ÖZETİ</t>
  </si>
  <si>
    <t>Metrik</t>
  </si>
  <si>
    <t>Hedef</t>
  </si>
  <si>
    <t>Matematiksel Doğruluk</t>
  </si>
  <si>
    <t>✅ MÜKEMMEL</t>
  </si>
  <si>
    <t>Fiziksel Doğrulama</t>
  </si>
  <si>
    <t>~40%</t>
  </si>
  <si>
    <t>⚠️ EKSİK</t>
  </si>
  <si>
    <t>Türetim Tamamlığı</t>
  </si>
  <si>
    <t>~30%</t>
  </si>
  <si>
    <t>❌ POSTÜLA</t>
  </si>
  <si>
    <t>Deneysel Test</t>
  </si>
  <si>
    <t>❌ YOK</t>
  </si>
  <si>
    <t>17-Kaynak Sayısı</t>
  </si>
  <si>
    <t>✅ TAM</t>
  </si>
  <si>
    <t>Doğrulanmış Kaynak</t>
  </si>
  <si>
    <t>⚠️ %50</t>
  </si>
  <si>
    <t>📚 REFERANS: FİBONACCİ DİZİSİ (İlk 15)</t>
  </si>
  <si>
    <t>n=</t>
  </si>
  <si>
    <t>Fn=</t>
  </si>
  <si>
    <t>Rapor Oluşturma: 22 Nisan 2026 | Kaynak: Tüm UST Analiz Sayfaları</t>
  </si>
  <si>
    <t>═══════════════════════════════════════════════════════════════════════════</t>
  </si>
  <si>
    <t>🏆 GENEL SONUÇ: FİBONACCİ-CLİFFORD-17 ANALİZİ</t>
  </si>
  <si>
    <t>Ana Bulgu</t>
  </si>
  <si>
    <t>Güvenilirlik</t>
  </si>
  <si>
    <t>UST İçin Anlam</t>
  </si>
  <si>
    <t>✅ DOĞRU</t>
  </si>
  <si>
    <t>Matematiksel motivasyon</t>
  </si>
  <si>
    <t>Türetim değil, eşleşme</t>
  </si>
  <si>
    <t>Cl(1,3)+1 = 17</t>
  </si>
  <si>
    <t>Q₁₆+O₁ temeli</t>
  </si>
  <si>
    <t>Dinamik türetim yok</t>
  </si>
  <si>
    <t>SM = 17 parçacık</t>
  </si>
  <si>
    <t>Fenomenolojik destek</t>
  </si>
  <si>
    <t>UST postüla</t>
  </si>
  <si>
    <t>QFT'de böyle katsayı yok</t>
  </si>
  <si>
    <t>⚠️ BELİRSİZ</t>
  </si>
  <si>
    <t>Dinamik türetim gerekli</t>
  </si>
  <si>
    <t>📌 VERDİCT: 17 sayısı matematiksel olarak birçok kaynaktan türetilebilir, ancak UST'nin</t>
  </si>
  <si>
    <t>fiziksel olarak 17-boyutlu olması gerektiği iddiası hala BİR POSTÜLADIR.</t>
  </si>
  <si>
    <t>Fibonacci-(F7+F8)/2=17 ilişkisi ilginç bir matematiksel örüntüdür, fiziksel zorunluluk DEĞİLDİR.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</si>
</sst>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b/>
      <sz val="16"/>
      <color theme="1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1" fillId="5" borderId="0" xfId="0" applyFont="1" applyFill="1"/>
    <xf numFmtId="0" fontId="3" fillId="6" borderId="0" xfId="0" applyFont="1" applyFill="1"/>
    <xf numFmtId="0" fontId="1" fillId="7" borderId="0" xfId="0" applyFont="1" applyFill="1"/>
    <xf numFmtId="0" fontId="4" fillId="8" borderId="0" xfId="0" applyFont="1" applyFill="1"/>
    <xf numFmtId="0" fontId="3" fillId="4" borderId="0" xfId="0" applyFont="1" applyFill="1"/>
    <xf numFmtId="0" fontId="3" fillId="9" borderId="0" xfId="0" applyFont="1" applyFill="1"/>
    <xf numFmtId="0" fontId="1" fillId="10" borderId="0" xfId="0" applyFont="1" applyFill="1"/>
    <xf numFmtId="0" fontId="3" fillId="11" borderId="0" xfId="0" applyFont="1" applyFill="1"/>
    <xf numFmtId="0" fontId="1" fillId="2" borderId="0" xfId="0" applyFont="1" applyFill="1"/>
    <xf numFmtId="16" fontId="0" fillId="0" borderId="0" xfId="0" applyNumberFormat="1"/>
    <xf numFmtId="0" fontId="1" fillId="8" borderId="0" xfId="0" applyFont="1" applyFill="1"/>
    <xf numFmtId="0" fontId="0" fillId="8" borderId="0" xfId="0" applyFill="1"/>
    <xf numFmtId="0" fontId="3" fillId="12" borderId="0" xfId="0" applyFont="1" applyFill="1"/>
    <xf numFmtId="0" fontId="1" fillId="13" borderId="0" xfId="0" applyFont="1" applyFill="1"/>
    <xf numFmtId="0" fontId="1" fillId="0" borderId="0" xfId="0" applyFont="1"/>
    <xf numFmtId="0" fontId="3" fillId="14" borderId="0" xfId="0" applyFont="1" applyFill="1"/>
    <xf numFmtId="0" fontId="1" fillId="15" borderId="0" xfId="0" applyFont="1" applyFill="1"/>
    <xf numFmtId="0" fontId="2" fillId="3" borderId="0" xfId="0" applyFont="1" applyFill="1"/>
    <xf numFmtId="0" fontId="3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5" fillId="6" borderId="0" xfId="0" applyFont="1" applyFill="1"/>
    <xf numFmtId="0" fontId="6" fillId="8" borderId="0" xfId="0" applyFont="1" applyFill="1" applyAlignment="1">
      <alignment horizontal="center"/>
    </xf>
    <xf numFmtId="9" fontId="0" fillId="0" borderId="0" xfId="0" applyNumberFormat="1"/>
    <xf numFmtId="0" fontId="7" fillId="0" borderId="0" xfId="0" applyFont="1"/>
    <xf numFmtId="0" fontId="5" fillId="11" borderId="0" xfId="0" applyFont="1" applyFill="1"/>
    <xf numFmtId="0" fontId="1" fillId="19" borderId="0" xfId="0" applyFont="1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88CA-B98D-40B2-82FD-A09A0BB68B51}">
  <sheetPr codeName="Sayfa10"/>
  <dimension ref="A1:O190"/>
  <sheetViews>
    <sheetView tabSelected="1" topLeftCell="A168" workbookViewId="0">
      <selection sqref="A1:K1"/>
    </sheetView>
  </sheetViews>
  <sheetFormatPr defaultRowHeight="15" x14ac:dyDescent="0.25"/>
  <cols>
    <col min="1" max="1" width="76.140625" customWidth="1"/>
    <col min="2" max="11" width="22.8554687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17" spans="1:11" ht="15.75" x14ac:dyDescent="0.25">
      <c r="A17" s="2" t="s">
        <v>0</v>
      </c>
    </row>
    <row r="19" spans="1:11" x14ac:dyDescent="0.25">
      <c r="A19" s="3" t="s">
        <v>1</v>
      </c>
      <c r="B19" s="3" t="s">
        <v>2</v>
      </c>
      <c r="C19" s="3" t="s">
        <v>3</v>
      </c>
      <c r="D19" s="3" t="s">
        <v>4</v>
      </c>
      <c r="E19" s="3" t="s">
        <v>5</v>
      </c>
    </row>
    <row r="20" spans="1:11" x14ac:dyDescent="0.25">
      <c r="A20" t="s">
        <v>6</v>
      </c>
      <c r="B20">
        <v>13</v>
      </c>
      <c r="C20">
        <f>13</f>
        <v>13</v>
      </c>
      <c r="D20" t="s">
        <v>7</v>
      </c>
      <c r="E20" t="s">
        <v>8</v>
      </c>
    </row>
    <row r="21" spans="1:11" x14ac:dyDescent="0.25">
      <c r="A21" t="s">
        <v>9</v>
      </c>
      <c r="B21">
        <v>21</v>
      </c>
      <c r="C21">
        <f>21</f>
        <v>21</v>
      </c>
      <c r="D21" t="s">
        <v>10</v>
      </c>
      <c r="E21" t="s">
        <v>8</v>
      </c>
    </row>
    <row r="22" spans="1:11" x14ac:dyDescent="0.25">
      <c r="A22" t="s">
        <v>11</v>
      </c>
      <c r="B22" t="s">
        <v>12</v>
      </c>
      <c r="C22">
        <f>13+21</f>
        <v>34</v>
      </c>
      <c r="D22" t="s">
        <v>13</v>
      </c>
      <c r="E22" t="s">
        <v>8</v>
      </c>
    </row>
    <row r="23" spans="1:11" x14ac:dyDescent="0.25">
      <c r="A23" t="s">
        <v>14</v>
      </c>
      <c r="B23" t="s">
        <v>15</v>
      </c>
      <c r="C23">
        <f>(13+21)/2</f>
        <v>17</v>
      </c>
      <c r="D23" t="s">
        <v>16</v>
      </c>
      <c r="E23" t="s">
        <v>17</v>
      </c>
    </row>
    <row r="24" spans="1:11" x14ac:dyDescent="0.25">
      <c r="A24" t="s">
        <v>18</v>
      </c>
      <c r="B24" t="s">
        <v>19</v>
      </c>
      <c r="C24">
        <f>13/21</f>
        <v>0.61904761904761907</v>
      </c>
      <c r="D24" t="s">
        <v>20</v>
      </c>
      <c r="E24" t="s">
        <v>8</v>
      </c>
    </row>
    <row r="25" spans="1:11" x14ac:dyDescent="0.25">
      <c r="A25" t="s">
        <v>21</v>
      </c>
      <c r="B25" t="s">
        <v>22</v>
      </c>
      <c r="C25">
        <f>21/13</f>
        <v>1.6153846153846154</v>
      </c>
      <c r="D25" t="s">
        <v>23</v>
      </c>
      <c r="E25" t="s">
        <v>8</v>
      </c>
    </row>
    <row r="26" spans="1:11" x14ac:dyDescent="0.25">
      <c r="A26" t="s">
        <v>24</v>
      </c>
      <c r="B26" t="s">
        <v>25</v>
      </c>
      <c r="C26">
        <f>17</f>
        <v>17</v>
      </c>
      <c r="D26" t="s">
        <v>26</v>
      </c>
      <c r="E26" t="s">
        <v>8</v>
      </c>
    </row>
    <row r="28" spans="1:11" x14ac:dyDescent="0.25">
      <c r="A28" s="4" t="s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5" t="s">
        <v>28</v>
      </c>
      <c r="B29" s="5" t="s">
        <v>29</v>
      </c>
      <c r="C29" s="5" t="s">
        <v>30</v>
      </c>
      <c r="D29" s="5" t="s">
        <v>1</v>
      </c>
      <c r="E29" s="5" t="s">
        <v>31</v>
      </c>
      <c r="F29" s="5" t="s">
        <v>4</v>
      </c>
      <c r="G29" s="5" t="s">
        <v>5</v>
      </c>
    </row>
    <row r="30" spans="1:11" x14ac:dyDescent="0.25">
      <c r="A30" t="s">
        <v>32</v>
      </c>
      <c r="B30" t="s">
        <v>33</v>
      </c>
      <c r="C30">
        <f>2^(1+3)</f>
        <v>16</v>
      </c>
      <c r="D30">
        <f>2^4</f>
        <v>16</v>
      </c>
      <c r="E30" t="s">
        <v>34</v>
      </c>
      <c r="F30" t="s">
        <v>35</v>
      </c>
      <c r="G30" t="s">
        <v>8</v>
      </c>
    </row>
    <row r="31" spans="1:11" x14ac:dyDescent="0.25">
      <c r="A31" t="s">
        <v>36</v>
      </c>
      <c r="B31" t="s">
        <v>37</v>
      </c>
      <c r="C31">
        <v>4</v>
      </c>
      <c r="D31">
        <v>4</v>
      </c>
      <c r="E31" t="s">
        <v>38</v>
      </c>
      <c r="F31" t="s">
        <v>39</v>
      </c>
      <c r="G31" t="s">
        <v>8</v>
      </c>
    </row>
    <row r="32" spans="1:11" x14ac:dyDescent="0.25">
      <c r="A32" t="s">
        <v>40</v>
      </c>
      <c r="B32" t="s">
        <v>41</v>
      </c>
      <c r="C32">
        <v>4</v>
      </c>
      <c r="D32">
        <v>4</v>
      </c>
      <c r="E32" t="s">
        <v>38</v>
      </c>
      <c r="F32" t="s">
        <v>42</v>
      </c>
      <c r="G32" t="s">
        <v>8</v>
      </c>
    </row>
    <row r="33" spans="1:8" x14ac:dyDescent="0.25">
      <c r="A33" t="s">
        <v>43</v>
      </c>
      <c r="B33" t="s">
        <v>44</v>
      </c>
      <c r="C33">
        <v>4</v>
      </c>
      <c r="D33">
        <v>4</v>
      </c>
      <c r="E33" t="s">
        <v>38</v>
      </c>
      <c r="F33" t="s">
        <v>45</v>
      </c>
      <c r="G33" t="s">
        <v>8</v>
      </c>
    </row>
    <row r="34" spans="1:8" x14ac:dyDescent="0.25">
      <c r="A34" t="s">
        <v>46</v>
      </c>
      <c r="B34" t="s">
        <v>47</v>
      </c>
      <c r="C34">
        <v>16</v>
      </c>
      <c r="D34">
        <f>4*4</f>
        <v>16</v>
      </c>
      <c r="E34" t="s">
        <v>34</v>
      </c>
      <c r="F34" t="s">
        <v>48</v>
      </c>
      <c r="G34" t="s">
        <v>8</v>
      </c>
    </row>
    <row r="35" spans="1:8" x14ac:dyDescent="0.25">
      <c r="A35" t="s">
        <v>49</v>
      </c>
      <c r="B35" t="s">
        <v>50</v>
      </c>
      <c r="C35">
        <v>1</v>
      </c>
      <c r="D35">
        <v>1</v>
      </c>
      <c r="E35" t="s">
        <v>51</v>
      </c>
      <c r="F35" t="s">
        <v>52</v>
      </c>
      <c r="G35" t="s">
        <v>8</v>
      </c>
    </row>
    <row r="36" spans="1:8" x14ac:dyDescent="0.25">
      <c r="A36" t="s">
        <v>53</v>
      </c>
      <c r="B36" t="s">
        <v>54</v>
      </c>
      <c r="C36">
        <f>1^2-1</f>
        <v>0</v>
      </c>
      <c r="D36">
        <f>0</f>
        <v>0</v>
      </c>
      <c r="E36" t="s">
        <v>38</v>
      </c>
      <c r="F36" t="s">
        <v>55</v>
      </c>
      <c r="G36" t="s">
        <v>8</v>
      </c>
    </row>
    <row r="37" spans="1:8" x14ac:dyDescent="0.25">
      <c r="A37" t="s">
        <v>56</v>
      </c>
      <c r="B37" t="s">
        <v>57</v>
      </c>
      <c r="C37">
        <f>16+1</f>
        <v>17</v>
      </c>
      <c r="D37">
        <f>17</f>
        <v>17</v>
      </c>
      <c r="E37" t="s">
        <v>58</v>
      </c>
      <c r="F37" t="s">
        <v>59</v>
      </c>
      <c r="G37" t="s">
        <v>8</v>
      </c>
    </row>
    <row r="38" spans="1:8" x14ac:dyDescent="0.25">
      <c r="A38" t="s">
        <v>60</v>
      </c>
      <c r="B38" t="s">
        <v>57</v>
      </c>
      <c r="C38">
        <f>16+1</f>
        <v>17</v>
      </c>
      <c r="D38">
        <f>17</f>
        <v>17</v>
      </c>
      <c r="E38" t="s">
        <v>61</v>
      </c>
      <c r="F38" t="s">
        <v>62</v>
      </c>
      <c r="G38" t="s">
        <v>17</v>
      </c>
    </row>
    <row r="40" spans="1:8" x14ac:dyDescent="0.25">
      <c r="A40" s="6" t="s">
        <v>63</v>
      </c>
    </row>
    <row r="41" spans="1:8" x14ac:dyDescent="0.25">
      <c r="A41" s="7" t="s">
        <v>64</v>
      </c>
      <c r="B41" s="7" t="s">
        <v>65</v>
      </c>
      <c r="C41" s="7" t="s">
        <v>66</v>
      </c>
      <c r="D41" s="7" t="s">
        <v>67</v>
      </c>
      <c r="E41" s="7" t="s">
        <v>68</v>
      </c>
      <c r="F41" s="7" t="s">
        <v>69</v>
      </c>
      <c r="G41" s="7" t="s">
        <v>70</v>
      </c>
      <c r="H41" s="7" t="s">
        <v>5</v>
      </c>
    </row>
    <row r="42" spans="1:8" x14ac:dyDescent="0.25">
      <c r="A42" t="s">
        <v>71</v>
      </c>
      <c r="B42" t="s">
        <v>72</v>
      </c>
      <c r="C42" t="s">
        <v>73</v>
      </c>
      <c r="D42" t="s">
        <v>74</v>
      </c>
      <c r="E42">
        <f>17</f>
        <v>17</v>
      </c>
      <c r="F42" t="s">
        <v>75</v>
      </c>
      <c r="G42" t="s">
        <v>76</v>
      </c>
      <c r="H42" t="s">
        <v>8</v>
      </c>
    </row>
    <row r="43" spans="1:8" x14ac:dyDescent="0.25">
      <c r="A43" t="s">
        <v>77</v>
      </c>
      <c r="B43" t="s">
        <v>78</v>
      </c>
      <c r="C43" t="s">
        <v>79</v>
      </c>
      <c r="D43" t="s">
        <v>57</v>
      </c>
      <c r="E43">
        <f>17</f>
        <v>17</v>
      </c>
      <c r="F43" t="s">
        <v>75</v>
      </c>
      <c r="G43" t="s">
        <v>80</v>
      </c>
      <c r="H43" t="s">
        <v>8</v>
      </c>
    </row>
    <row r="44" spans="1:8" x14ac:dyDescent="0.25">
      <c r="A44" t="s">
        <v>81</v>
      </c>
      <c r="B44" t="s">
        <v>82</v>
      </c>
      <c r="C44" t="s">
        <v>83</v>
      </c>
      <c r="D44" t="s">
        <v>56</v>
      </c>
      <c r="E44">
        <f>17</f>
        <v>17</v>
      </c>
      <c r="F44" t="s">
        <v>75</v>
      </c>
      <c r="G44" t="s">
        <v>84</v>
      </c>
      <c r="H44" t="s">
        <v>8</v>
      </c>
    </row>
    <row r="45" spans="1:8" x14ac:dyDescent="0.25">
      <c r="A45" t="s">
        <v>85</v>
      </c>
      <c r="B45" t="s">
        <v>86</v>
      </c>
      <c r="C45" t="s">
        <v>87</v>
      </c>
      <c r="D45" t="s">
        <v>88</v>
      </c>
      <c r="E45">
        <f>17</f>
        <v>17</v>
      </c>
      <c r="F45" t="s">
        <v>75</v>
      </c>
      <c r="G45" t="s">
        <v>89</v>
      </c>
      <c r="H45" t="s">
        <v>8</v>
      </c>
    </row>
    <row r="46" spans="1:8" x14ac:dyDescent="0.25">
      <c r="A46" t="s">
        <v>90</v>
      </c>
      <c r="B46" t="s">
        <v>91</v>
      </c>
      <c r="C46" t="s">
        <v>92</v>
      </c>
      <c r="D46" t="s">
        <v>57</v>
      </c>
      <c r="E46">
        <f>17</f>
        <v>17</v>
      </c>
      <c r="F46" t="s">
        <v>75</v>
      </c>
      <c r="G46" t="s">
        <v>93</v>
      </c>
      <c r="H46" t="s">
        <v>8</v>
      </c>
    </row>
    <row r="47" spans="1:8" x14ac:dyDescent="0.25">
      <c r="A47" t="s">
        <v>94</v>
      </c>
      <c r="B47" t="s">
        <v>95</v>
      </c>
      <c r="C47" t="s">
        <v>96</v>
      </c>
      <c r="D47">
        <f>16+1</f>
        <v>17</v>
      </c>
      <c r="E47">
        <f>17</f>
        <v>17</v>
      </c>
      <c r="F47" t="s">
        <v>75</v>
      </c>
      <c r="G47" t="s">
        <v>97</v>
      </c>
      <c r="H47" t="s">
        <v>8</v>
      </c>
    </row>
    <row r="48" spans="1:8" x14ac:dyDescent="0.25">
      <c r="A48" t="s">
        <v>98</v>
      </c>
      <c r="B48" t="s">
        <v>99</v>
      </c>
      <c r="C48" t="s">
        <v>100</v>
      </c>
      <c r="D48">
        <f>17</f>
        <v>17</v>
      </c>
      <c r="E48">
        <f>17</f>
        <v>17</v>
      </c>
      <c r="F48" t="s">
        <v>75</v>
      </c>
      <c r="G48" t="s">
        <v>101</v>
      </c>
      <c r="H48" t="s">
        <v>8</v>
      </c>
    </row>
    <row r="50" spans="1:11" ht="18.75" x14ac:dyDescent="0.3">
      <c r="A50" s="8" t="s">
        <v>102</v>
      </c>
      <c r="B50" s="8"/>
      <c r="C50" s="8"/>
      <c r="D50" s="8"/>
      <c r="E50" s="8"/>
      <c r="F50" s="8"/>
      <c r="G50" s="8"/>
      <c r="H50" s="8"/>
      <c r="I50" s="8"/>
      <c r="J50" s="8"/>
      <c r="K50" s="8"/>
    </row>
    <row r="52" spans="1:11" x14ac:dyDescent="0.25">
      <c r="A52" s="9" t="s">
        <v>103</v>
      </c>
    </row>
    <row r="53" spans="1:11" x14ac:dyDescent="0.25">
      <c r="A53" s="5" t="s">
        <v>64</v>
      </c>
      <c r="B53" s="5" t="s">
        <v>104</v>
      </c>
      <c r="C53" s="5" t="s">
        <v>105</v>
      </c>
      <c r="D53" s="5" t="s">
        <v>1</v>
      </c>
      <c r="E53" s="5" t="s">
        <v>4</v>
      </c>
      <c r="F53" s="5" t="s">
        <v>5</v>
      </c>
    </row>
    <row r="54" spans="1:11" x14ac:dyDescent="0.25">
      <c r="A54" t="s">
        <v>106</v>
      </c>
      <c r="B54" t="s">
        <v>24</v>
      </c>
      <c r="C54" t="s">
        <v>107</v>
      </c>
      <c r="D54">
        <f>17</f>
        <v>17</v>
      </c>
      <c r="E54" t="s">
        <v>108</v>
      </c>
      <c r="F54" t="s">
        <v>8</v>
      </c>
    </row>
    <row r="55" spans="1:11" x14ac:dyDescent="0.25">
      <c r="A55" t="s">
        <v>109</v>
      </c>
      <c r="B55" t="s">
        <v>110</v>
      </c>
      <c r="C55" t="s">
        <v>111</v>
      </c>
      <c r="D55">
        <f>2^4+1</f>
        <v>17</v>
      </c>
      <c r="E55" t="s">
        <v>112</v>
      </c>
      <c r="F55" t="s">
        <v>8</v>
      </c>
    </row>
    <row r="56" spans="1:11" x14ac:dyDescent="0.25">
      <c r="A56" t="s">
        <v>113</v>
      </c>
      <c r="B56" t="s">
        <v>114</v>
      </c>
      <c r="C56" t="s">
        <v>15</v>
      </c>
      <c r="D56">
        <f>(13+21)/2</f>
        <v>17</v>
      </c>
      <c r="E56" t="s">
        <v>76</v>
      </c>
      <c r="F56" t="s">
        <v>8</v>
      </c>
    </row>
    <row r="57" spans="1:11" x14ac:dyDescent="0.25">
      <c r="A57" t="s">
        <v>115</v>
      </c>
      <c r="B57" t="s">
        <v>116</v>
      </c>
      <c r="C57" t="s">
        <v>117</v>
      </c>
      <c r="D57">
        <f>17-16</f>
        <v>1</v>
      </c>
      <c r="E57" t="s">
        <v>118</v>
      </c>
      <c r="F57" t="s">
        <v>8</v>
      </c>
    </row>
    <row r="58" spans="1:11" x14ac:dyDescent="0.25">
      <c r="A58" t="s">
        <v>119</v>
      </c>
      <c r="B58" t="s">
        <v>120</v>
      </c>
      <c r="C58" t="s">
        <v>121</v>
      </c>
      <c r="D58">
        <f>1/17</f>
        <v>5.8823529411764705E-2</v>
      </c>
      <c r="E58" t="s">
        <v>122</v>
      </c>
      <c r="F58" t="s">
        <v>123</v>
      </c>
    </row>
    <row r="59" spans="1:11" x14ac:dyDescent="0.25">
      <c r="A59" t="s">
        <v>124</v>
      </c>
      <c r="B59" t="s">
        <v>125</v>
      </c>
      <c r="C59" t="s">
        <v>126</v>
      </c>
      <c r="D59">
        <f>0.007297353/17</f>
        <v>4.2925605882352942E-4</v>
      </c>
      <c r="E59" t="s">
        <v>127</v>
      </c>
      <c r="F59" t="s">
        <v>8</v>
      </c>
    </row>
    <row r="60" spans="1:11" x14ac:dyDescent="0.25">
      <c r="A60" t="s">
        <v>128</v>
      </c>
      <c r="B60" t="s">
        <v>129</v>
      </c>
      <c r="C60" t="s">
        <v>130</v>
      </c>
      <c r="D60">
        <f>MOD(17,6)</f>
        <v>5</v>
      </c>
      <c r="E60" t="s">
        <v>131</v>
      </c>
      <c r="F60" t="s">
        <v>8</v>
      </c>
    </row>
    <row r="61" spans="1:11" x14ac:dyDescent="0.25">
      <c r="A61" t="s">
        <v>132</v>
      </c>
      <c r="B61" t="s">
        <v>133</v>
      </c>
      <c r="C61" t="s">
        <v>134</v>
      </c>
      <c r="D61">
        <f>SQRT(17)</f>
        <v>4.1231056256176606</v>
      </c>
      <c r="E61" t="s">
        <v>135</v>
      </c>
      <c r="F61" t="s">
        <v>8</v>
      </c>
    </row>
    <row r="63" spans="1:11" x14ac:dyDescent="0.25">
      <c r="A63" s="10" t="s">
        <v>136</v>
      </c>
    </row>
    <row r="64" spans="1:11" x14ac:dyDescent="0.25">
      <c r="A64" s="11" t="s">
        <v>64</v>
      </c>
      <c r="B64" s="11" t="s">
        <v>137</v>
      </c>
      <c r="C64" s="11" t="s">
        <v>2</v>
      </c>
      <c r="D64" s="11" t="s">
        <v>3</v>
      </c>
      <c r="E64" s="11" t="s">
        <v>138</v>
      </c>
      <c r="F64" s="11" t="s">
        <v>139</v>
      </c>
      <c r="G64" s="11" t="s">
        <v>5</v>
      </c>
    </row>
    <row r="65" spans="1:7" x14ac:dyDescent="0.25">
      <c r="A65" t="s">
        <v>140</v>
      </c>
      <c r="B65" t="s">
        <v>141</v>
      </c>
      <c r="C65" t="s">
        <v>142</v>
      </c>
      <c r="D65">
        <f>(1+SQRT(5))/2</f>
        <v>1.6180339887498949</v>
      </c>
      <c r="E65" t="s">
        <v>143</v>
      </c>
      <c r="F65" t="s">
        <v>144</v>
      </c>
      <c r="G65" t="s">
        <v>8</v>
      </c>
    </row>
    <row r="66" spans="1:7" x14ac:dyDescent="0.25">
      <c r="A66" t="s">
        <v>145</v>
      </c>
      <c r="B66" t="s">
        <v>146</v>
      </c>
      <c r="C66" t="s">
        <v>22</v>
      </c>
      <c r="D66">
        <f>21/13</f>
        <v>1.6153846153846154</v>
      </c>
      <c r="E66" t="s">
        <v>147</v>
      </c>
      <c r="F66" t="s">
        <v>148</v>
      </c>
      <c r="G66" t="s">
        <v>8</v>
      </c>
    </row>
    <row r="67" spans="1:7" x14ac:dyDescent="0.25">
      <c r="A67" t="s">
        <v>149</v>
      </c>
      <c r="B67" t="s">
        <v>150</v>
      </c>
      <c r="C67" t="s">
        <v>19</v>
      </c>
      <c r="D67">
        <f>13/21</f>
        <v>0.61904761904761907</v>
      </c>
      <c r="E67" t="s">
        <v>151</v>
      </c>
      <c r="F67" t="s">
        <v>152</v>
      </c>
      <c r="G67" t="s">
        <v>8</v>
      </c>
    </row>
    <row r="68" spans="1:7" x14ac:dyDescent="0.25">
      <c r="A68" t="s">
        <v>153</v>
      </c>
      <c r="B68" t="s">
        <v>154</v>
      </c>
      <c r="C68" t="s">
        <v>155</v>
      </c>
      <c r="D68">
        <f>13*(1+SQRT(5))/2</f>
        <v>21.034441853748632</v>
      </c>
      <c r="E68" t="s">
        <v>156</v>
      </c>
      <c r="F68" t="s">
        <v>157</v>
      </c>
      <c r="G68" t="s">
        <v>8</v>
      </c>
    </row>
    <row r="69" spans="1:7" x14ac:dyDescent="0.25">
      <c r="A69" t="s">
        <v>158</v>
      </c>
      <c r="B69" t="s">
        <v>159</v>
      </c>
      <c r="C69" t="s">
        <v>160</v>
      </c>
      <c r="D69">
        <f>17/((1+SQRT(5))/2)</f>
        <v>10.506577808748212</v>
      </c>
      <c r="E69" t="s">
        <v>161</v>
      </c>
      <c r="F69" t="s">
        <v>162</v>
      </c>
      <c r="G69" t="s">
        <v>8</v>
      </c>
    </row>
    <row r="70" spans="1:7" x14ac:dyDescent="0.25">
      <c r="A70" t="s">
        <v>163</v>
      </c>
      <c r="B70" t="s">
        <v>164</v>
      </c>
      <c r="C70" t="s">
        <v>165</v>
      </c>
      <c r="D70">
        <f>17*(1+SQRT(5))/2</f>
        <v>27.506577808748212</v>
      </c>
      <c r="E70" t="s">
        <v>166</v>
      </c>
      <c r="F70" t="s">
        <v>167</v>
      </c>
      <c r="G70" t="s">
        <v>8</v>
      </c>
    </row>
    <row r="71" spans="1:7" x14ac:dyDescent="0.25">
      <c r="A71" t="s">
        <v>168</v>
      </c>
      <c r="B71" t="s">
        <v>168</v>
      </c>
    </row>
    <row r="72" spans="1:7" x14ac:dyDescent="0.25">
      <c r="A72" t="s">
        <v>169</v>
      </c>
      <c r="B72" t="s">
        <v>170</v>
      </c>
      <c r="C72" t="s">
        <v>171</v>
      </c>
      <c r="D72">
        <v>0.39150000000000001</v>
      </c>
      <c r="E72" t="s">
        <v>172</v>
      </c>
      <c r="F72" t="s">
        <v>38</v>
      </c>
      <c r="G72" t="s">
        <v>173</v>
      </c>
    </row>
    <row r="74" spans="1:7" x14ac:dyDescent="0.25">
      <c r="A74" s="12" t="s">
        <v>174</v>
      </c>
    </row>
    <row r="75" spans="1:7" x14ac:dyDescent="0.25">
      <c r="A75" s="13" t="s">
        <v>175</v>
      </c>
      <c r="B75" s="13" t="s">
        <v>176</v>
      </c>
      <c r="C75" s="13" t="s">
        <v>177</v>
      </c>
      <c r="D75" s="13" t="s">
        <v>178</v>
      </c>
      <c r="E75" s="13" t="s">
        <v>179</v>
      </c>
      <c r="F75" s="13" t="s">
        <v>180</v>
      </c>
    </row>
    <row r="76" spans="1:7" x14ac:dyDescent="0.25">
      <c r="A76" t="s">
        <v>181</v>
      </c>
      <c r="B76" t="s">
        <v>182</v>
      </c>
      <c r="C76">
        <v>6</v>
      </c>
      <c r="D76" s="14">
        <v>46024</v>
      </c>
      <c r="E76" t="s">
        <v>183</v>
      </c>
      <c r="F76" t="s">
        <v>184</v>
      </c>
    </row>
    <row r="77" spans="1:7" x14ac:dyDescent="0.25">
      <c r="A77" t="s">
        <v>185</v>
      </c>
      <c r="B77" t="s">
        <v>186</v>
      </c>
      <c r="C77">
        <v>6</v>
      </c>
      <c r="D77" s="14">
        <v>46024</v>
      </c>
      <c r="E77" t="s">
        <v>183</v>
      </c>
      <c r="F77" t="s">
        <v>184</v>
      </c>
    </row>
    <row r="78" spans="1:7" x14ac:dyDescent="0.25">
      <c r="A78" t="s">
        <v>187</v>
      </c>
      <c r="B78" t="s">
        <v>188</v>
      </c>
      <c r="C78">
        <v>4</v>
      </c>
      <c r="D78">
        <v>1</v>
      </c>
      <c r="E78" t="s">
        <v>183</v>
      </c>
      <c r="F78" t="s">
        <v>189</v>
      </c>
    </row>
    <row r="79" spans="1:7" x14ac:dyDescent="0.25">
      <c r="A79" t="s">
        <v>190</v>
      </c>
      <c r="B79" t="s">
        <v>191</v>
      </c>
      <c r="C79">
        <v>1</v>
      </c>
      <c r="D79">
        <v>0</v>
      </c>
      <c r="E79" t="s">
        <v>183</v>
      </c>
      <c r="F79" t="s">
        <v>192</v>
      </c>
    </row>
    <row r="80" spans="1:7" x14ac:dyDescent="0.25">
      <c r="A80" s="15" t="s">
        <v>193</v>
      </c>
      <c r="B80" s="16" t="s">
        <v>194</v>
      </c>
      <c r="C80" s="16">
        <f>6+6+4+1</f>
        <v>17</v>
      </c>
      <c r="D80" s="16" t="s">
        <v>38</v>
      </c>
      <c r="E80" s="16" t="s">
        <v>195</v>
      </c>
      <c r="F80" s="16" t="s">
        <v>196</v>
      </c>
    </row>
    <row r="82" spans="1:7" x14ac:dyDescent="0.25">
      <c r="A82" s="6" t="s">
        <v>197</v>
      </c>
    </row>
    <row r="83" spans="1:7" x14ac:dyDescent="0.25">
      <c r="A83" s="7" t="s">
        <v>198</v>
      </c>
      <c r="B83" s="7" t="s">
        <v>199</v>
      </c>
      <c r="C83" s="7" t="s">
        <v>3</v>
      </c>
      <c r="D83" s="7" t="s">
        <v>138</v>
      </c>
      <c r="E83" s="7" t="s">
        <v>200</v>
      </c>
      <c r="F83" s="7" t="s">
        <v>201</v>
      </c>
      <c r="G83" s="7" t="s">
        <v>5</v>
      </c>
    </row>
    <row r="84" spans="1:7" x14ac:dyDescent="0.25">
      <c r="A84" t="s">
        <v>202</v>
      </c>
      <c r="B84" t="s">
        <v>203</v>
      </c>
      <c r="C84">
        <v>17</v>
      </c>
      <c r="D84" t="s">
        <v>204</v>
      </c>
      <c r="E84" t="s">
        <v>205</v>
      </c>
      <c r="F84" t="s">
        <v>206</v>
      </c>
      <c r="G84" t="s">
        <v>173</v>
      </c>
    </row>
    <row r="85" spans="1:7" x14ac:dyDescent="0.25">
      <c r="A85" t="s">
        <v>202</v>
      </c>
      <c r="B85" t="s">
        <v>207</v>
      </c>
      <c r="C85">
        <f>1/17</f>
        <v>5.8823529411764705E-2</v>
      </c>
      <c r="D85" t="s">
        <v>122</v>
      </c>
      <c r="E85" t="s">
        <v>205</v>
      </c>
      <c r="F85" t="s">
        <v>206</v>
      </c>
      <c r="G85" t="s">
        <v>173</v>
      </c>
    </row>
    <row r="86" spans="1:7" x14ac:dyDescent="0.25">
      <c r="A86" t="s">
        <v>208</v>
      </c>
      <c r="B86" t="s">
        <v>209</v>
      </c>
      <c r="C86">
        <f>0.007297353/17</f>
        <v>4.2925605882352942E-4</v>
      </c>
      <c r="D86" t="s">
        <v>210</v>
      </c>
      <c r="E86" t="s">
        <v>211</v>
      </c>
      <c r="F86" t="s">
        <v>173</v>
      </c>
      <c r="G86" t="s">
        <v>8</v>
      </c>
    </row>
    <row r="87" spans="1:7" x14ac:dyDescent="0.25">
      <c r="A87" t="s">
        <v>212</v>
      </c>
      <c r="B87" t="s">
        <v>213</v>
      </c>
      <c r="C87">
        <v>17</v>
      </c>
      <c r="D87" t="s">
        <v>214</v>
      </c>
      <c r="E87" t="s">
        <v>215</v>
      </c>
      <c r="F87" t="s">
        <v>8</v>
      </c>
      <c r="G87" t="s">
        <v>8</v>
      </c>
    </row>
    <row r="88" spans="1:7" x14ac:dyDescent="0.25">
      <c r="A88" t="s">
        <v>212</v>
      </c>
      <c r="B88" t="s">
        <v>216</v>
      </c>
      <c r="C88">
        <v>17</v>
      </c>
      <c r="D88" t="s">
        <v>217</v>
      </c>
      <c r="E88" t="s">
        <v>215</v>
      </c>
      <c r="F88" t="s">
        <v>8</v>
      </c>
      <c r="G88" t="s">
        <v>8</v>
      </c>
    </row>
    <row r="89" spans="1:7" x14ac:dyDescent="0.25">
      <c r="A89" t="s">
        <v>212</v>
      </c>
      <c r="B89" t="s">
        <v>114</v>
      </c>
      <c r="C89">
        <f>(13+21)/2</f>
        <v>17</v>
      </c>
      <c r="D89" t="s">
        <v>76</v>
      </c>
      <c r="E89" t="s">
        <v>215</v>
      </c>
      <c r="F89" t="s">
        <v>8</v>
      </c>
      <c r="G89" t="s">
        <v>8</v>
      </c>
    </row>
    <row r="90" spans="1:7" x14ac:dyDescent="0.25">
      <c r="A90" t="s">
        <v>212</v>
      </c>
      <c r="B90" t="s">
        <v>56</v>
      </c>
      <c r="C90">
        <f>16+1</f>
        <v>17</v>
      </c>
      <c r="D90" t="s">
        <v>218</v>
      </c>
      <c r="E90" t="s">
        <v>205</v>
      </c>
      <c r="F90" t="s">
        <v>206</v>
      </c>
      <c r="G90" t="s">
        <v>173</v>
      </c>
    </row>
    <row r="91" spans="1:7" x14ac:dyDescent="0.25">
      <c r="A91" t="s">
        <v>219</v>
      </c>
      <c r="B91" t="s">
        <v>78</v>
      </c>
      <c r="C91">
        <v>16</v>
      </c>
      <c r="D91" t="s">
        <v>220</v>
      </c>
      <c r="E91" t="s">
        <v>215</v>
      </c>
      <c r="F91" t="s">
        <v>8</v>
      </c>
      <c r="G91" t="s">
        <v>8</v>
      </c>
    </row>
    <row r="92" spans="1:7" x14ac:dyDescent="0.25">
      <c r="A92" t="s">
        <v>219</v>
      </c>
      <c r="B92" t="s">
        <v>221</v>
      </c>
      <c r="C92">
        <f>6+6+4+1</f>
        <v>17</v>
      </c>
      <c r="D92" t="s">
        <v>101</v>
      </c>
      <c r="E92" t="s">
        <v>222</v>
      </c>
      <c r="F92" t="s">
        <v>8</v>
      </c>
      <c r="G92" t="s">
        <v>8</v>
      </c>
    </row>
    <row r="93" spans="1:7" x14ac:dyDescent="0.25">
      <c r="A93" t="s">
        <v>219</v>
      </c>
      <c r="B93" t="s">
        <v>223</v>
      </c>
      <c r="C93" t="s">
        <v>125</v>
      </c>
      <c r="D93" t="s">
        <v>224</v>
      </c>
      <c r="E93" t="s">
        <v>179</v>
      </c>
      <c r="F93" t="s">
        <v>173</v>
      </c>
      <c r="G93" t="s">
        <v>173</v>
      </c>
    </row>
    <row r="94" spans="1:7" x14ac:dyDescent="0.25">
      <c r="A94" t="s">
        <v>225</v>
      </c>
      <c r="B94" t="s">
        <v>226</v>
      </c>
      <c r="C94" t="s">
        <v>227</v>
      </c>
      <c r="D94" t="s">
        <v>228</v>
      </c>
      <c r="E94" t="s">
        <v>229</v>
      </c>
      <c r="F94" t="s">
        <v>206</v>
      </c>
      <c r="G94" t="s">
        <v>206</v>
      </c>
    </row>
    <row r="96" spans="1:7" x14ac:dyDescent="0.25">
      <c r="A96" s="17" t="s">
        <v>230</v>
      </c>
    </row>
    <row r="97" spans="1:8" x14ac:dyDescent="0.25">
      <c r="A97" s="18" t="s">
        <v>64</v>
      </c>
      <c r="B97" s="18" t="s">
        <v>231</v>
      </c>
      <c r="C97" s="18" t="s">
        <v>232</v>
      </c>
      <c r="D97" s="18" t="s">
        <v>233</v>
      </c>
      <c r="E97" s="18" t="s">
        <v>234</v>
      </c>
      <c r="F97" s="18" t="s">
        <v>235</v>
      </c>
      <c r="G97" s="18" t="s">
        <v>236</v>
      </c>
      <c r="H97" s="18" t="s">
        <v>237</v>
      </c>
    </row>
    <row r="98" spans="1:8" x14ac:dyDescent="0.25">
      <c r="A98" t="s">
        <v>238</v>
      </c>
      <c r="B98" t="s">
        <v>239</v>
      </c>
      <c r="C98" t="s">
        <v>8</v>
      </c>
      <c r="D98" t="s">
        <v>240</v>
      </c>
      <c r="E98" t="s">
        <v>241</v>
      </c>
      <c r="F98" t="s">
        <v>8</v>
      </c>
      <c r="G98" t="s">
        <v>8</v>
      </c>
      <c r="H98">
        <v>8</v>
      </c>
    </row>
    <row r="99" spans="1:8" x14ac:dyDescent="0.25">
      <c r="A99" t="s">
        <v>242</v>
      </c>
      <c r="B99" t="s">
        <v>243</v>
      </c>
      <c r="C99" t="s">
        <v>8</v>
      </c>
      <c r="D99" t="s">
        <v>244</v>
      </c>
      <c r="E99" t="s">
        <v>245</v>
      </c>
      <c r="F99" t="s">
        <v>8</v>
      </c>
      <c r="G99" t="s">
        <v>8</v>
      </c>
      <c r="H99">
        <v>9</v>
      </c>
    </row>
    <row r="100" spans="1:8" x14ac:dyDescent="0.25">
      <c r="A100" t="s">
        <v>246</v>
      </c>
      <c r="B100" t="s">
        <v>247</v>
      </c>
      <c r="C100" t="s">
        <v>8</v>
      </c>
      <c r="D100" t="s">
        <v>240</v>
      </c>
      <c r="E100" t="s">
        <v>89</v>
      </c>
      <c r="F100" t="s">
        <v>8</v>
      </c>
      <c r="G100" t="s">
        <v>8</v>
      </c>
      <c r="H100">
        <v>7</v>
      </c>
    </row>
    <row r="101" spans="1:8" x14ac:dyDescent="0.25">
      <c r="A101" t="s">
        <v>248</v>
      </c>
      <c r="B101" t="s">
        <v>249</v>
      </c>
      <c r="C101" t="s">
        <v>8</v>
      </c>
      <c r="D101" t="s">
        <v>250</v>
      </c>
      <c r="E101" t="s">
        <v>251</v>
      </c>
      <c r="F101" t="s">
        <v>8</v>
      </c>
      <c r="G101" t="s">
        <v>8</v>
      </c>
      <c r="H101">
        <v>6</v>
      </c>
    </row>
    <row r="102" spans="1:8" x14ac:dyDescent="0.25">
      <c r="A102" t="s">
        <v>252</v>
      </c>
      <c r="B102" t="s">
        <v>221</v>
      </c>
      <c r="C102" t="s">
        <v>253</v>
      </c>
      <c r="D102" t="s">
        <v>254</v>
      </c>
      <c r="E102" t="s">
        <v>255</v>
      </c>
      <c r="F102" t="s">
        <v>206</v>
      </c>
      <c r="G102" t="s">
        <v>8</v>
      </c>
      <c r="H102">
        <v>7</v>
      </c>
    </row>
    <row r="103" spans="1:8" x14ac:dyDescent="0.25">
      <c r="A103" t="s">
        <v>256</v>
      </c>
      <c r="B103" t="s">
        <v>207</v>
      </c>
      <c r="C103" t="s">
        <v>257</v>
      </c>
      <c r="D103" t="s">
        <v>250</v>
      </c>
      <c r="E103" t="s">
        <v>258</v>
      </c>
      <c r="F103" t="s">
        <v>206</v>
      </c>
      <c r="G103" t="s">
        <v>206</v>
      </c>
      <c r="H103">
        <v>2</v>
      </c>
    </row>
    <row r="104" spans="1:8" x14ac:dyDescent="0.25">
      <c r="A104" t="s">
        <v>259</v>
      </c>
      <c r="B104" t="s">
        <v>260</v>
      </c>
      <c r="C104" t="s">
        <v>261</v>
      </c>
      <c r="D104" t="s">
        <v>262</v>
      </c>
      <c r="E104" t="s">
        <v>263</v>
      </c>
      <c r="F104" t="s">
        <v>173</v>
      </c>
      <c r="G104" t="s">
        <v>206</v>
      </c>
      <c r="H104">
        <v>4</v>
      </c>
    </row>
    <row r="105" spans="1:8" x14ac:dyDescent="0.25">
      <c r="A105" t="s">
        <v>264</v>
      </c>
      <c r="B105" t="s">
        <v>265</v>
      </c>
      <c r="C105" t="s">
        <v>266</v>
      </c>
      <c r="D105" t="s">
        <v>267</v>
      </c>
      <c r="E105" t="s">
        <v>268</v>
      </c>
      <c r="F105" t="s">
        <v>206</v>
      </c>
      <c r="G105" t="s">
        <v>206</v>
      </c>
      <c r="H105">
        <v>3</v>
      </c>
    </row>
    <row r="106" spans="1:8" x14ac:dyDescent="0.25">
      <c r="A106" s="19"/>
      <c r="B106" s="19"/>
      <c r="C106" s="19"/>
      <c r="D106" s="19"/>
      <c r="E106" s="19"/>
      <c r="F106" s="19"/>
      <c r="G106" s="19" t="s">
        <v>269</v>
      </c>
      <c r="H106" s="19">
        <v>5.75</v>
      </c>
    </row>
    <row r="108" spans="1:8" x14ac:dyDescent="0.25">
      <c r="A108" s="20" t="s">
        <v>270</v>
      </c>
    </row>
    <row r="109" spans="1:8" x14ac:dyDescent="0.25">
      <c r="A109" s="21" t="s">
        <v>271</v>
      </c>
      <c r="B109" s="21" t="s">
        <v>272</v>
      </c>
      <c r="C109" s="21" t="s">
        <v>273</v>
      </c>
      <c r="D109" s="21" t="s">
        <v>274</v>
      </c>
      <c r="E109" s="21" t="s">
        <v>5</v>
      </c>
      <c r="F109" s="21" t="s">
        <v>68</v>
      </c>
    </row>
    <row r="110" spans="1:8" x14ac:dyDescent="0.25">
      <c r="A110" t="s">
        <v>275</v>
      </c>
      <c r="B110" t="s">
        <v>276</v>
      </c>
      <c r="C110" t="s">
        <v>277</v>
      </c>
      <c r="D110" t="s">
        <v>278</v>
      </c>
      <c r="E110" t="s">
        <v>173</v>
      </c>
      <c r="F110" t="s">
        <v>279</v>
      </c>
    </row>
    <row r="111" spans="1:8" x14ac:dyDescent="0.25">
      <c r="A111" t="s">
        <v>280</v>
      </c>
      <c r="B111" t="s">
        <v>281</v>
      </c>
      <c r="C111" t="s">
        <v>282</v>
      </c>
      <c r="D111" t="s">
        <v>283</v>
      </c>
      <c r="E111" t="s">
        <v>173</v>
      </c>
      <c r="F111" t="s">
        <v>284</v>
      </c>
    </row>
    <row r="112" spans="1:8" x14ac:dyDescent="0.25">
      <c r="A112" t="s">
        <v>285</v>
      </c>
      <c r="B112" t="s">
        <v>286</v>
      </c>
      <c r="C112" t="s">
        <v>287</v>
      </c>
      <c r="D112" t="s">
        <v>288</v>
      </c>
      <c r="E112" t="s">
        <v>8</v>
      </c>
      <c r="F112" t="s">
        <v>289</v>
      </c>
    </row>
    <row r="113" spans="1:6" x14ac:dyDescent="0.25">
      <c r="A113" t="s">
        <v>290</v>
      </c>
      <c r="B113" t="s">
        <v>291</v>
      </c>
      <c r="C113" t="s">
        <v>292</v>
      </c>
      <c r="D113" t="s">
        <v>293</v>
      </c>
      <c r="E113" t="s">
        <v>8</v>
      </c>
      <c r="F113" t="s">
        <v>294</v>
      </c>
    </row>
    <row r="114" spans="1:6" x14ac:dyDescent="0.25">
      <c r="A114" t="s">
        <v>295</v>
      </c>
      <c r="B114" t="s">
        <v>296</v>
      </c>
      <c r="C114" t="s">
        <v>297</v>
      </c>
      <c r="D114" t="s">
        <v>298</v>
      </c>
      <c r="E114" t="s">
        <v>206</v>
      </c>
      <c r="F114" t="s">
        <v>299</v>
      </c>
    </row>
    <row r="115" spans="1:6" x14ac:dyDescent="0.25">
      <c r="A115" t="s">
        <v>300</v>
      </c>
      <c r="B115" t="s">
        <v>301</v>
      </c>
      <c r="C115" t="s">
        <v>302</v>
      </c>
      <c r="D115" t="s">
        <v>303</v>
      </c>
      <c r="E115" t="s">
        <v>206</v>
      </c>
      <c r="F115" t="s">
        <v>304</v>
      </c>
    </row>
    <row r="117" spans="1:6" ht="15.75" x14ac:dyDescent="0.25">
      <c r="A117" s="22" t="s">
        <v>305</v>
      </c>
    </row>
    <row r="118" spans="1:6" x14ac:dyDescent="0.25">
      <c r="A118" s="19" t="s">
        <v>175</v>
      </c>
      <c r="B118" s="19" t="s">
        <v>294</v>
      </c>
      <c r="C118" s="19" t="s">
        <v>306</v>
      </c>
      <c r="D118" s="19" t="s">
        <v>307</v>
      </c>
      <c r="E118" s="19" t="s">
        <v>13</v>
      </c>
      <c r="F118" s="19" t="s">
        <v>308</v>
      </c>
    </row>
    <row r="119" spans="1:6" x14ac:dyDescent="0.25">
      <c r="A119" t="s">
        <v>309</v>
      </c>
      <c r="B119">
        <v>2</v>
      </c>
      <c r="C119">
        <v>2</v>
      </c>
      <c r="D119">
        <v>0</v>
      </c>
      <c r="E119">
        <v>4</v>
      </c>
      <c r="F119">
        <v>0.5</v>
      </c>
    </row>
    <row r="120" spans="1:6" x14ac:dyDescent="0.25">
      <c r="A120" t="s">
        <v>310</v>
      </c>
      <c r="B120">
        <v>3</v>
      </c>
      <c r="C120">
        <v>0</v>
      </c>
      <c r="D120">
        <v>0</v>
      </c>
      <c r="E120">
        <v>3</v>
      </c>
      <c r="F120">
        <v>1</v>
      </c>
    </row>
    <row r="121" spans="1:6" x14ac:dyDescent="0.25">
      <c r="A121" t="s">
        <v>311</v>
      </c>
      <c r="B121">
        <v>1</v>
      </c>
      <c r="C121">
        <v>2</v>
      </c>
      <c r="D121">
        <v>2</v>
      </c>
      <c r="E121">
        <v>5</v>
      </c>
      <c r="F121">
        <v>0.2</v>
      </c>
    </row>
    <row r="122" spans="1:6" x14ac:dyDescent="0.25">
      <c r="A122" t="s">
        <v>312</v>
      </c>
      <c r="B122">
        <v>2</v>
      </c>
      <c r="C122">
        <v>1</v>
      </c>
      <c r="D122">
        <v>0</v>
      </c>
      <c r="E122">
        <v>3</v>
      </c>
      <c r="F122">
        <v>0.67</v>
      </c>
    </row>
    <row r="123" spans="1:6" x14ac:dyDescent="0.25">
      <c r="A123" s="7" t="s">
        <v>313</v>
      </c>
      <c r="B123" s="7">
        <v>8</v>
      </c>
      <c r="C123" s="7">
        <v>5</v>
      </c>
      <c r="D123" s="7">
        <v>2</v>
      </c>
      <c r="E123" s="7">
        <v>15</v>
      </c>
      <c r="F123" s="7">
        <v>0.53</v>
      </c>
    </row>
    <row r="125" spans="1:6" x14ac:dyDescent="0.25">
      <c r="A125" s="23" t="s">
        <v>314</v>
      </c>
    </row>
    <row r="127" spans="1:6" x14ac:dyDescent="0.25">
      <c r="A127" s="13" t="s">
        <v>315</v>
      </c>
    </row>
    <row r="128" spans="1:6" x14ac:dyDescent="0.25">
      <c r="A128" t="s">
        <v>316</v>
      </c>
    </row>
    <row r="129" spans="1:1" x14ac:dyDescent="0.25">
      <c r="A129" t="s">
        <v>317</v>
      </c>
    </row>
    <row r="130" spans="1:1" x14ac:dyDescent="0.25">
      <c r="A130" t="s">
        <v>318</v>
      </c>
    </row>
    <row r="131" spans="1:1" x14ac:dyDescent="0.25">
      <c r="A131" t="s">
        <v>319</v>
      </c>
    </row>
    <row r="132" spans="1:1" x14ac:dyDescent="0.25">
      <c r="A132" t="s">
        <v>320</v>
      </c>
    </row>
    <row r="133" spans="1:1" x14ac:dyDescent="0.25">
      <c r="A133" t="s">
        <v>321</v>
      </c>
    </row>
    <row r="134" spans="1:1" x14ac:dyDescent="0.25">
      <c r="A134" t="s">
        <v>322</v>
      </c>
    </row>
    <row r="136" spans="1:1" x14ac:dyDescent="0.25">
      <c r="A136" s="24" t="s">
        <v>323</v>
      </c>
    </row>
    <row r="137" spans="1:1" x14ac:dyDescent="0.25">
      <c r="A137" t="s">
        <v>324</v>
      </c>
    </row>
    <row r="138" spans="1:1" x14ac:dyDescent="0.25">
      <c r="A138" t="s">
        <v>325</v>
      </c>
    </row>
    <row r="139" spans="1:1" x14ac:dyDescent="0.25">
      <c r="A139" t="s">
        <v>326</v>
      </c>
    </row>
    <row r="140" spans="1:1" x14ac:dyDescent="0.25">
      <c r="A140" t="s">
        <v>327</v>
      </c>
    </row>
    <row r="141" spans="1:1" x14ac:dyDescent="0.25">
      <c r="A141" t="s">
        <v>328</v>
      </c>
    </row>
    <row r="143" spans="1:1" x14ac:dyDescent="0.25">
      <c r="A143" s="25" t="s">
        <v>329</v>
      </c>
    </row>
    <row r="144" spans="1:1" x14ac:dyDescent="0.25">
      <c r="A144" t="s">
        <v>330</v>
      </c>
    </row>
    <row r="145" spans="1:11" x14ac:dyDescent="0.25">
      <c r="A145" t="s">
        <v>331</v>
      </c>
    </row>
    <row r="146" spans="1:11" x14ac:dyDescent="0.25">
      <c r="A146" t="s">
        <v>332</v>
      </c>
    </row>
    <row r="148" spans="1:11" ht="18.75" x14ac:dyDescent="0.3">
      <c r="A148" s="26" t="s">
        <v>333</v>
      </c>
    </row>
    <row r="150" spans="1:11" ht="21" x14ac:dyDescent="0.35">
      <c r="A150" s="27" t="s">
        <v>334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2" spans="1:11" x14ac:dyDescent="0.25">
      <c r="A152" t="s">
        <v>335</v>
      </c>
    </row>
    <row r="153" spans="1:11" x14ac:dyDescent="0.25">
      <c r="A153" t="s">
        <v>336</v>
      </c>
    </row>
    <row r="154" spans="1:11" x14ac:dyDescent="0.25">
      <c r="A154" t="s">
        <v>337</v>
      </c>
    </row>
    <row r="155" spans="1:11" x14ac:dyDescent="0.25">
      <c r="A155" t="s">
        <v>338</v>
      </c>
    </row>
    <row r="156" spans="1:11" x14ac:dyDescent="0.25">
      <c r="A156" t="s">
        <v>339</v>
      </c>
    </row>
    <row r="157" spans="1:11" x14ac:dyDescent="0.25">
      <c r="A157" t="s">
        <v>340</v>
      </c>
    </row>
    <row r="159" spans="1:11" x14ac:dyDescent="0.25">
      <c r="A159" s="25" t="s">
        <v>341</v>
      </c>
    </row>
    <row r="160" spans="1:11" x14ac:dyDescent="0.25">
      <c r="A160" t="s">
        <v>342</v>
      </c>
    </row>
    <row r="161" spans="1:15" x14ac:dyDescent="0.25">
      <c r="A161" t="s">
        <v>343</v>
      </c>
    </row>
    <row r="163" spans="1:15" x14ac:dyDescent="0.25">
      <c r="A163" s="9" t="s">
        <v>344</v>
      </c>
    </row>
    <row r="164" spans="1:15" x14ac:dyDescent="0.25">
      <c r="A164" s="5" t="s">
        <v>345</v>
      </c>
      <c r="B164" s="5" t="s">
        <v>3</v>
      </c>
      <c r="C164" s="5" t="s">
        <v>346</v>
      </c>
      <c r="D164" s="5" t="s">
        <v>5</v>
      </c>
    </row>
    <row r="165" spans="1:15" x14ac:dyDescent="0.25">
      <c r="A165" t="s">
        <v>347</v>
      </c>
      <c r="B165" s="28">
        <v>1</v>
      </c>
      <c r="C165" s="28">
        <v>1</v>
      </c>
      <c r="D165" t="s">
        <v>348</v>
      </c>
    </row>
    <row r="166" spans="1:15" x14ac:dyDescent="0.25">
      <c r="A166" t="s">
        <v>349</v>
      </c>
      <c r="B166" t="s">
        <v>350</v>
      </c>
      <c r="C166" s="28">
        <v>0.8</v>
      </c>
      <c r="D166" t="s">
        <v>351</v>
      </c>
    </row>
    <row r="167" spans="1:15" x14ac:dyDescent="0.25">
      <c r="A167" t="s">
        <v>352</v>
      </c>
      <c r="B167" t="s">
        <v>353</v>
      </c>
      <c r="C167" s="28">
        <v>0.7</v>
      </c>
      <c r="D167" t="s">
        <v>354</v>
      </c>
    </row>
    <row r="168" spans="1:15" x14ac:dyDescent="0.25">
      <c r="A168" t="s">
        <v>355</v>
      </c>
      <c r="B168" s="28">
        <v>0</v>
      </c>
      <c r="C168" s="28">
        <v>0.5</v>
      </c>
      <c r="D168" t="s">
        <v>356</v>
      </c>
    </row>
    <row r="169" spans="1:15" x14ac:dyDescent="0.25">
      <c r="A169" t="s">
        <v>357</v>
      </c>
      <c r="B169">
        <v>8</v>
      </c>
      <c r="C169">
        <v>8</v>
      </c>
      <c r="D169" t="s">
        <v>358</v>
      </c>
    </row>
    <row r="170" spans="1:15" x14ac:dyDescent="0.25">
      <c r="A170" t="s">
        <v>359</v>
      </c>
      <c r="B170">
        <v>4</v>
      </c>
      <c r="C170">
        <v>8</v>
      </c>
      <c r="D170" t="s">
        <v>360</v>
      </c>
    </row>
    <row r="172" spans="1:15" x14ac:dyDescent="0.25">
      <c r="A172" s="19" t="s">
        <v>361</v>
      </c>
    </row>
    <row r="173" spans="1:15" x14ac:dyDescent="0.25">
      <c r="A173" t="s">
        <v>362</v>
      </c>
      <c r="B173">
        <v>1</v>
      </c>
      <c r="C173">
        <v>2</v>
      </c>
      <c r="D173">
        <v>3</v>
      </c>
      <c r="E173">
        <v>4</v>
      </c>
      <c r="F173">
        <v>5</v>
      </c>
      <c r="G173">
        <v>6</v>
      </c>
      <c r="H173" s="16">
        <v>7</v>
      </c>
      <c r="I173" s="16">
        <v>8</v>
      </c>
      <c r="J173">
        <v>9</v>
      </c>
      <c r="K173">
        <v>10</v>
      </c>
      <c r="L173">
        <v>11</v>
      </c>
      <c r="M173">
        <v>12</v>
      </c>
      <c r="N173">
        <v>13</v>
      </c>
      <c r="O173">
        <v>14</v>
      </c>
    </row>
    <row r="174" spans="1:15" x14ac:dyDescent="0.25">
      <c r="A174" t="s">
        <v>363</v>
      </c>
      <c r="B174">
        <v>1</v>
      </c>
      <c r="C174">
        <v>1</v>
      </c>
      <c r="D174">
        <v>2</v>
      </c>
      <c r="E174">
        <v>3</v>
      </c>
      <c r="F174">
        <v>5</v>
      </c>
      <c r="G174">
        <v>8</v>
      </c>
      <c r="H174" s="16">
        <v>13</v>
      </c>
      <c r="I174" s="16">
        <v>21</v>
      </c>
      <c r="J174">
        <v>34</v>
      </c>
      <c r="K174">
        <v>55</v>
      </c>
      <c r="L174">
        <v>89</v>
      </c>
      <c r="M174">
        <v>144</v>
      </c>
      <c r="N174">
        <v>233</v>
      </c>
      <c r="O174">
        <v>377</v>
      </c>
    </row>
    <row r="176" spans="1:15" x14ac:dyDescent="0.25">
      <c r="A176" s="29" t="s">
        <v>364</v>
      </c>
    </row>
    <row r="178" spans="1:5" x14ac:dyDescent="0.25">
      <c r="A178" t="s">
        <v>365</v>
      </c>
    </row>
    <row r="179" spans="1:5" ht="18.75" x14ac:dyDescent="0.3">
      <c r="A179" s="30" t="s">
        <v>366</v>
      </c>
    </row>
    <row r="181" spans="1:5" x14ac:dyDescent="0.25">
      <c r="A181" s="31" t="s">
        <v>367</v>
      </c>
      <c r="B181" s="31" t="s">
        <v>5</v>
      </c>
      <c r="C181" s="31" t="s">
        <v>368</v>
      </c>
      <c r="D181" s="31" t="s">
        <v>369</v>
      </c>
      <c r="E181" s="31" t="s">
        <v>180</v>
      </c>
    </row>
    <row r="182" spans="1:5" x14ac:dyDescent="0.25">
      <c r="A182" t="s">
        <v>239</v>
      </c>
      <c r="B182" t="s">
        <v>370</v>
      </c>
      <c r="C182" s="28">
        <v>1</v>
      </c>
      <c r="D182" t="s">
        <v>371</v>
      </c>
      <c r="E182" t="s">
        <v>372</v>
      </c>
    </row>
    <row r="183" spans="1:5" x14ac:dyDescent="0.25">
      <c r="A183" t="s">
        <v>373</v>
      </c>
      <c r="B183" t="s">
        <v>370</v>
      </c>
      <c r="C183" s="28">
        <v>1</v>
      </c>
      <c r="D183" t="s">
        <v>374</v>
      </c>
      <c r="E183" t="s">
        <v>375</v>
      </c>
    </row>
    <row r="184" spans="1:5" x14ac:dyDescent="0.25">
      <c r="A184" t="s">
        <v>376</v>
      </c>
      <c r="B184" t="s">
        <v>370</v>
      </c>
      <c r="C184" s="28">
        <v>0.9</v>
      </c>
      <c r="D184" t="s">
        <v>377</v>
      </c>
      <c r="E184" t="s">
        <v>288</v>
      </c>
    </row>
    <row r="185" spans="1:5" x14ac:dyDescent="0.25">
      <c r="A185" t="s">
        <v>207</v>
      </c>
      <c r="B185" t="s">
        <v>356</v>
      </c>
      <c r="C185" s="28">
        <v>0</v>
      </c>
      <c r="D185" t="s">
        <v>378</v>
      </c>
      <c r="E185" t="s">
        <v>379</v>
      </c>
    </row>
    <row r="186" spans="1:5" x14ac:dyDescent="0.25">
      <c r="A186" t="s">
        <v>226</v>
      </c>
      <c r="B186" t="s">
        <v>380</v>
      </c>
      <c r="C186" s="28">
        <v>0.3</v>
      </c>
      <c r="D186" t="s">
        <v>228</v>
      </c>
      <c r="E186" t="s">
        <v>381</v>
      </c>
    </row>
    <row r="188" spans="1:5" x14ac:dyDescent="0.25">
      <c r="A188" s="32" t="s">
        <v>382</v>
      </c>
    </row>
    <row r="189" spans="1:5" x14ac:dyDescent="0.25">
      <c r="A189" s="32" t="s">
        <v>383</v>
      </c>
    </row>
    <row r="190" spans="1:5" x14ac:dyDescent="0.25">
      <c r="A190" s="32" t="s">
        <v>384</v>
      </c>
    </row>
  </sheetData>
  <mergeCells count="5">
    <mergeCell ref="A1:K1"/>
    <mergeCell ref="A2:K2"/>
    <mergeCell ref="A28:K28"/>
    <mergeCell ref="A50:K50"/>
    <mergeCell ref="A150:K1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Fibonacci-17 Analiz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2026-04-23T11:00:24Z</dcterms:created>
  <dcterms:modified xsi:type="dcterms:W3CDTF">2026-04-23T11:00:24Z</dcterms:modified>
</cp:coreProperties>
</file>