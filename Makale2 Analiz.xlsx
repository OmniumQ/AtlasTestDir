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BuÇalismaKitabi" defaultThemeVersion="202300"/>
  <mc:AlternateContent xmlns:mc="http://schemas.openxmlformats.org/markup-compatibility/2006">
    <mc:Choice Requires="x15">
      <x15ac:absPath xmlns:x15ac="http://schemas.microsoft.com/office/spreadsheetml/2010/11/ac" url="C:\OmniumQ\"/>
    </mc:Choice>
  </mc:AlternateContent>
  <xr:revisionPtr revIDLastSave="0" documentId="8_{B91CB7DC-14EB-46CA-B558-47C0E28C9ABB}" xr6:coauthVersionLast="47" xr6:coauthVersionMax="47" xr10:uidLastSave="{00000000-0000-0000-0000-000000000000}"/>
  <bookViews>
    <workbookView xWindow="-120" yWindow="-120" windowWidth="29040" windowHeight="15720" xr2:uid="{9157480C-EC3F-4F4C-B4FF-E81C0EF6C32C}"/>
  </bookViews>
  <sheets>
    <sheet name="Makale2 Analiz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27" i="1" l="1"/>
  <c r="C127" i="1"/>
  <c r="B127" i="1"/>
  <c r="B126" i="1"/>
  <c r="E126" i="1" s="1"/>
  <c r="C125" i="1"/>
  <c r="B125" i="1"/>
  <c r="E125" i="1" s="1"/>
  <c r="B124" i="1"/>
  <c r="C124" i="1" s="1"/>
  <c r="E123" i="1"/>
  <c r="C123" i="1"/>
  <c r="B123" i="1"/>
  <c r="B122" i="1"/>
  <c r="E122" i="1" s="1"/>
  <c r="E55" i="1"/>
  <c r="E28" i="1"/>
  <c r="F17" i="1"/>
  <c r="E124" i="1" l="1"/>
  <c r="C122" i="1"/>
  <c r="C126" i="1"/>
</calcChain>
</file>

<file path=xl/sharedStrings.xml><?xml version="1.0" encoding="utf-8"?>
<sst xmlns="http://schemas.openxmlformats.org/spreadsheetml/2006/main" count="332" uniqueCount="253">
  <si>
    <t>🔬 UST MAKALE 2 ANALİZİ - 17-Prime Structure</t>
  </si>
  <si>
    <t>Makale 1 vs Makale 2 Karşılaştırma | 22 Nisan 2026</t>
  </si>
  <si>
    <t>📊 BÖLÜM 1: MAKALE 1 vs MAKALE 2 KARŞILAŞTIRMA</t>
  </si>
  <si>
    <t>Özellik</t>
  </si>
  <si>
    <t>Makale 1</t>
  </si>
  <si>
    <t>Makale 2</t>
  </si>
  <si>
    <t>Değişim</t>
  </si>
  <si>
    <t>Değerlendirme</t>
  </si>
  <si>
    <t>Skor</t>
  </si>
  <si>
    <t>Başlık Odağı</t>
  </si>
  <si>
    <t>GR + Einstein</t>
  </si>
  <si>
    <t>SM + Prime</t>
  </si>
  <si>
    <t>SM vurgusu</t>
  </si>
  <si>
    <t>⚠️ GR azaldı</t>
  </si>
  <si>
    <t>Einstein Denklemi</t>
  </si>
  <si>
    <t>Gμν+Λ-(α/17)Cμν</t>
  </si>
  <si>
    <t>YOK</t>
  </si>
  <si>
    <t>Çıkarıldı</t>
  </si>
  <si>
    <t>❌ KRİTİK KAYIP</t>
  </si>
  <si>
    <t>SM Parçacık Tablosu</t>
  </si>
  <si>
    <t>Bahsedilir</t>
  </si>
  <si>
    <t>Detaylı: 6+6+5</t>
  </si>
  <si>
    <t>Genişledi</t>
  </si>
  <si>
    <t>✅ İYİ</t>
  </si>
  <si>
    <t>Heat Kernel a₂=1/17</t>
  </si>
  <si>
    <t>Postüla</t>
  </si>
  <si>
    <t>Hala postüla</t>
  </si>
  <si>
    <t>Değişmedi</t>
  </si>
  <si>
    <t>⚠️ Türetim yok</t>
  </si>
  <si>
    <t>Nb Formülü</t>
  </si>
  <si>
    <t>(3-√3)/2-α/17</t>
  </si>
  <si>
    <t>Aynı</t>
  </si>
  <si>
    <t>⚠️ Baseline?</t>
  </si>
  <si>
    <t>ONL=2/5 Türetimi</t>
  </si>
  <si>
    <t>Var</t>
  </si>
  <si>
    <t>Boltzmann detaylı</t>
  </si>
  <si>
    <t>Markov Chain</t>
  </si>
  <si>
    <t>Yok</t>
  </si>
  <si>
    <t>YENİ EKLENDİ</t>
  </si>
  <si>
    <t>YENİ</t>
  </si>
  <si>
    <t>✅ YENİ KATKI</t>
  </si>
  <si>
    <t>Λ Problemi</t>
  </si>
  <si>
    <t>10⁻⁵ vs 10⁻¹²⁰</t>
  </si>
  <si>
    <t>HİÇ BAHSEDİLMİYOR</t>
  </si>
  <si>
    <t>GİZLENDİ</t>
  </si>
  <si>
    <t>❌ SORUN GİZLENDİ</t>
  </si>
  <si>
    <t>Wheeler-DeWitt</t>
  </si>
  <si>
    <t>Hala yok</t>
  </si>
  <si>
    <t>Eksik</t>
  </si>
  <si>
    <t>❌ QG yok</t>
  </si>
  <si>
    <t>Relativistik Kütle</t>
  </si>
  <si>
    <t>❌ m=m₀γ UST yok</t>
  </si>
  <si>
    <t>Deneysel Tahminler</t>
  </si>
  <si>
    <t>Belirsiz</t>
  </si>
  <si>
    <t>4 madde listesi</t>
  </si>
  <si>
    <t>Gelişti</t>
  </si>
  <si>
    <t>⚠️ Sayı yok</t>
  </si>
  <si>
    <t>ORTALAMA</t>
  </si>
  <si>
    <t>✅ BÖLÜM 2: MAKALE 2'NİN YENİ KATKILARI</t>
  </si>
  <si>
    <t>#</t>
  </si>
  <si>
    <t>Yeni Katkı</t>
  </si>
  <si>
    <t>Formül/Kavram</t>
  </si>
  <si>
    <t>Bilimsel Değer</t>
  </si>
  <si>
    <t>6q + 6l + 5b = 17</t>
  </si>
  <si>
    <t>✅ Doğru</t>
  </si>
  <si>
    <t>Markov Chain Model</t>
  </si>
  <si>
    <t>Absorbing state O₁</t>
  </si>
  <si>
    <t>✅ Matematiksel</t>
  </si>
  <si>
    <t>Genişletilmiş Hilbert</t>
  </si>
  <si>
    <t>H = H_Q ⊕ H_O</t>
  </si>
  <si>
    <t>✅ QM uyumlu</t>
  </si>
  <si>
    <t>Block-diagonal H</t>
  </si>
  <si>
    <t>H=[[H_Q,0],[0,0]]</t>
  </si>
  <si>
    <t>✅ Tutarlı</t>
  </si>
  <si>
    <t>T_Ω Hesabı</t>
  </si>
  <si>
    <t>≈0.422 T_Planck</t>
  </si>
  <si>
    <t>⚠️ Spesifik</t>
  </si>
  <si>
    <t>SU(1) Zero Gen.</t>
  </si>
  <si>
    <t>0 jeneratör→ΔS=0</t>
  </si>
  <si>
    <t>✅ Grup teorisi</t>
  </si>
  <si>
    <t>4 Tahmin Listesi</t>
  </si>
  <si>
    <t>18.parçacık yok,vs</t>
  </si>
  <si>
    <t>⚠️ Kavramsal</t>
  </si>
  <si>
    <t>YENİ KATKI ORT:</t>
  </si>
  <si>
    <t>❌ BÖLÜM 3: KRİTİK EKSİKLİKLER - HALA ÇÖZÜLMEYENLER</t>
  </si>
  <si>
    <t>Eksiklik</t>
  </si>
  <si>
    <t>Makale 2'de Durum</t>
  </si>
  <si>
    <t>Kritiklik</t>
  </si>
  <si>
    <t>Etki</t>
  </si>
  <si>
    <t>a₂=1/17 QFT Türetimi</t>
  </si>
  <si>
    <t>Appendix'e ertelendi</t>
  </si>
  <si>
    <t>KRİTİK</t>
  </si>
  <si>
    <t>Temel sabit belirsiz</t>
  </si>
  <si>
    <t>(3-√3)/2 Baseline</t>
  </si>
  <si>
    <t>Companion paper'a</t>
  </si>
  <si>
    <t>Döngüsel mantık</t>
  </si>
  <si>
    <t>Nb Gözlem Kaynağı</t>
  </si>
  <si>
    <t>Hala referans yok</t>
  </si>
  <si>
    <t>0.6335446 nereden?</t>
  </si>
  <si>
    <t>Λ 10¹²⁰ Problemi</t>
  </si>
  <si>
    <t>GİZLENDİ!</t>
  </si>
  <si>
    <t>Ana sorun yok sayıldı</t>
  </si>
  <si>
    <t>Einstein Modifikasyon</t>
  </si>
  <si>
    <t>ÇIKARILDI</t>
  </si>
  <si>
    <t>YÜKSEK</t>
  </si>
  <si>
    <t>GR bağlantısı kayıp</t>
  </si>
  <si>
    <t>QG temeli eksik</t>
  </si>
  <si>
    <t>Path Integral</t>
  </si>
  <si>
    <t>Tam QG yok</t>
  </si>
  <si>
    <t>Dirac Denklemi</t>
  </si>
  <si>
    <t>Fermiyonlar belirsiz</t>
  </si>
  <si>
    <t>v→c limiti yok</t>
  </si>
  <si>
    <t>Sayısal Tahmin</t>
  </si>
  <si>
    <t>Kavramsal, sayı yok</t>
  </si>
  <si>
    <t>Yanlışlanamaz</t>
  </si>
  <si>
    <t>🎯 BÖLÜM 4: POPPERCİ YANLIŞ­LANABİLİRLİK ANALİZİ</t>
  </si>
  <si>
    <t>Kriter</t>
  </si>
  <si>
    <t>Skor M2</t>
  </si>
  <si>
    <t>Yanlışlanabilirlik</t>
  </si>
  <si>
    <t>Zayıf</t>
  </si>
  <si>
    <t>Biraz daha iyi</t>
  </si>
  <si>
    <t>Test Edilebilirlik</t>
  </si>
  <si>
    <t>Orta</t>
  </si>
  <si>
    <t>4 tahmin listesi</t>
  </si>
  <si>
    <t>Öngörü Gücü</t>
  </si>
  <si>
    <t>18.parçacık yok</t>
  </si>
  <si>
    <t>İç Tutarlılık</t>
  </si>
  <si>
    <t>Güçlü</t>
  </si>
  <si>
    <t>Güçlü (aynı)</t>
  </si>
  <si>
    <t>Dış Tutarlılık</t>
  </si>
  <si>
    <t>SM bağlantısı+</t>
  </si>
  <si>
    <t>Basitlik</t>
  </si>
  <si>
    <t>Açıklayıcı Güç</t>
  </si>
  <si>
    <t>Λ gizlendi!</t>
  </si>
  <si>
    <t>Yenilik</t>
  </si>
  <si>
    <t>Markov eklendi</t>
  </si>
  <si>
    <t>Matematiksel Titizlik</t>
  </si>
  <si>
    <t>Dürüstlük</t>
  </si>
  <si>
    <t>ORTALAMA:</t>
  </si>
  <si>
    <t>📊 BÖLÜM 5: FİNAL SKOR KARTI</t>
  </si>
  <si>
    <t>Kategori</t>
  </si>
  <si>
    <t>Durum</t>
  </si>
  <si>
    <t>Matematik Tutarlılık</t>
  </si>
  <si>
    <t>=</t>
  </si>
  <si>
    <t>✅ AYNI</t>
  </si>
  <si>
    <t>SM Bağlantısı</t>
  </si>
  <si>
    <t>✅ GELİŞTİ</t>
  </si>
  <si>
    <t>GR Bağlantısı</t>
  </si>
  <si>
    <t>❌ GERİLEDİ</t>
  </si>
  <si>
    <t>❌ GİZLENDİ</t>
  </si>
  <si>
    <t>QG Temeli</t>
  </si>
  <si>
    <t>❌ AYNI EKSİK</t>
  </si>
  <si>
    <t>Rel. Kütle</t>
  </si>
  <si>
    <t>⚠️ AZ GELİŞTİ</t>
  </si>
  <si>
    <t>Bilgi Teorisi</t>
  </si>
  <si>
    <t>🔥 BÖLÜM 6: FİNAL DEĞERLENDİRME - BU İŞE YARIYOR MU?</t>
  </si>
  <si>
    <t>SORU: Makale 2 teoriye katkı sağlıyor mu?</t>
  </si>
  <si>
    <t>✅ POZİTİF YÖNLER:</t>
  </si>
  <si>
    <t>1. SM parçacık bağlantısı güçlendirildi (6+6+5=17 tablosu)</t>
  </si>
  <si>
    <t>2. Markov Chain modeli eklendi - bilgi teorisi perspektifi</t>
  </si>
  <si>
    <t>3. ONL=2/5 Boltzmann türetimi detaylandırıldı</t>
  </si>
  <si>
    <t>4. SU(1) zero generator argümanı güçlendirildi</t>
  </si>
  <si>
    <t>5. 4 deneysel tahmin listesi (kavramsal olsa da)</t>
  </si>
  <si>
    <t>❌ NEGATİF YÖNLER:</t>
  </si>
  <si>
    <t>1. Λ 10¹²⁰ PROBLEMİ GİZLENDİ! Makale 1'deki en büyük sorun yok sayıldı</t>
  </si>
  <si>
    <t>2. Einstein modifiye denklemi ÇIKARILDI - GR bağlantısı zayıfladı</t>
  </si>
  <si>
    <t>3. a₂=1/17 hala türetilmedi - 'Appendix A' erteleme</t>
  </si>
  <si>
    <t>4. (3-√3)/2 baseline hala 'companion paper'a ertelendi</t>
  </si>
  <si>
    <t>5. Nb=0.63354460 gözlem değeri HALA REFERANSSIZ</t>
  </si>
  <si>
    <t>6. Wheeler-DeWitt, Path Integral, Dirac hala YOK</t>
  </si>
  <si>
    <t>7. Relativistik kütle formülasyonu HALA YOK</t>
  </si>
  <si>
    <t>8. Sayısal tahminler yok - '18.parçacık yok' yanlışlanamaz</t>
  </si>
  <si>
    <t>📌 FİNAL KARAR:</t>
  </si>
  <si>
    <t>CEVAP: KISMI KATKI - AMA KRİTİK SORUNLAR GİZLENDİ</t>
  </si>
  <si>
    <t>Makale 2'nin Katkıları:</t>
  </si>
  <si>
    <t>• SM-17 bağlantısı güçlendi → FAYDALI</t>
  </si>
  <si>
    <t>• Markov Chain eklendi → YENİ PERSPEKTİF</t>
  </si>
  <si>
    <t>• Bilgi teorisi detaylandı → İYİ</t>
  </si>
  <si>
    <t>Makale 2'nin Sorunları:</t>
  </si>
  <si>
    <t>• Λ problemi GİZLENDİ → DÜRÜSTLÜK SORUNU</t>
  </si>
  <si>
    <t>• GR temeli zayıfladı → ODAK KAYBI</t>
  </si>
  <si>
    <t>• Kritik eksiklikler HALA MEVCUT</t>
  </si>
  <si>
    <t>ÖZET SKOR:</t>
  </si>
  <si>
    <t>Metrik</t>
  </si>
  <si>
    <t>Yorum</t>
  </si>
  <si>
    <t>Popperci Skor</t>
  </si>
  <si>
    <t>5.5/10</t>
  </si>
  <si>
    <t>5.4/10</t>
  </si>
  <si>
    <t>⚠️ Değişmedi</t>
  </si>
  <si>
    <t>✅ Gelişti</t>
  </si>
  <si>
    <t>❌ Geriledi</t>
  </si>
  <si>
    <t>İyi</t>
  </si>
  <si>
    <t>Sorunlu</t>
  </si>
  <si>
    <t>❌ Λ gizlendi</t>
  </si>
  <si>
    <t>Genel Değer</t>
  </si>
  <si>
    <t>⚠️ Az gelişme</t>
  </si>
  <si>
    <t>🎯 ÖNERİ: İki makale BİRLEŞTİRİLMELİ</t>
  </si>
  <si>
    <t>• Makale 1'in GR temeli + Makale 2'nin SM detayı = Daha güçlü</t>
  </si>
  <si>
    <t>• Λ problemi GİZLENMEMELİ, çözüm önerilmeli</t>
  </si>
  <si>
    <t>• a₂=1/17 ve baseline TÜRETİLMELİ</t>
  </si>
  <si>
    <t>• Sayısal, yanlışlanabilir tahminler EKLENMELİ</t>
  </si>
  <si>
    <t>🚀 BÖLÜM 7: RELATİVİSTİK KÜTLE - HER İKİ MAKALEDE DE YOK!</t>
  </si>
  <si>
    <t>Sorduğunuz 'kütlenin ışık hızına göre değişimi' her iki makalede de FORMÜLE EDİLMEMİŞ</t>
  </si>
  <si>
    <t>β (v/c)</t>
  </si>
  <si>
    <t>γ Klasik</t>
  </si>
  <si>
    <t>m/m₀ Klasik</t>
  </si>
  <si>
    <t>UST Önerisi?</t>
  </si>
  <si>
    <t>γmax=17?</t>
  </si>
  <si>
    <t>Sorun</t>
  </si>
  <si>
    <t>?</t>
  </si>
  <si>
    <t>Düşük hız, sorun yok</t>
  </si>
  <si>
    <t>✅</t>
  </si>
  <si>
    <t>γ&lt;17, sınırda</t>
  </si>
  <si>
    <t>⚠️</t>
  </si>
  <si>
    <t>γ&lt;17, yaklaşıyor</t>
  </si>
  <si>
    <t>γ&gt;17! Sınır aşıldı</t>
  </si>
  <si>
    <t>❌</t>
  </si>
  <si>
    <t>γ&gt;&gt;17! Büyük sorun</t>
  </si>
  <si>
    <t>⚠️ KRİTİK: β&gt;0.999 için γ&gt;17 oluyor - UST'nin 17 sınırı ile çelişki!</t>
  </si>
  <si>
    <t>💡 BÖLÜM 8: UST İÇİN ÖNERİLEN RELATİVİSTİK KÜTLE FORMÜLLERİ</t>
  </si>
  <si>
    <t>Öneri</t>
  </si>
  <si>
    <t>Formül</t>
  </si>
  <si>
    <t>γmax=17 Sınırı</t>
  </si>
  <si>
    <t>γ_UST = min(γ, 17)</t>
  </si>
  <si>
    <t>17-boyut sınırı</t>
  </si>
  <si>
    <t>Ns,q Düzeltmesi</t>
  </si>
  <si>
    <t>m = m₀γ(1+Ns,q·γ/17)</t>
  </si>
  <si>
    <t>Omnium katkısı</t>
  </si>
  <si>
    <t>Asimptotik Sınır</t>
  </si>
  <si>
    <t>γ_UST = 17·tanh(γ/17)</t>
  </si>
  <si>
    <t>Yumuşak geçiş</t>
  </si>
  <si>
    <t>Enerji Düzeltme</t>
  </si>
  <si>
    <t>E = mc²(1-α/17)</t>
  </si>
  <si>
    <t>Tr₁₇ izi</t>
  </si>
  <si>
    <t>1/Ns,q Sınırı</t>
  </si>
  <si>
    <t>γmax = 1/Ns,q ≈ 1.58</t>
  </si>
  <si>
    <t>Alternatif sınır</t>
  </si>
  <si>
    <t>📌 FİNAL ÖZET - MAKALE 2 İŞE YARIYOR MU?</t>
  </si>
  <si>
    <t>Boyut</t>
  </si>
  <si>
    <t>Açıklama</t>
  </si>
  <si>
    <t>✅ FAYDALI</t>
  </si>
  <si>
    <t>6+6+5=17 tablosu iyi</t>
  </si>
  <si>
    <t>✅ YENİ</t>
  </si>
  <si>
    <t>Bilgi teorisi perspektifi</t>
  </si>
  <si>
    <t>ONL Türetimi</t>
  </si>
  <si>
    <t>GR Temeli</t>
  </si>
  <si>
    <t>Einstein denklemi çıkarıldı</t>
  </si>
  <si>
    <t>10¹²⁰ fark yok sayıldı</t>
  </si>
  <si>
    <t>❌ YOK</t>
  </si>
  <si>
    <t>Her iki makalede de yok</t>
  </si>
  <si>
    <t>SONUÇ: Makale 2, Makale 1'i TAMAMLIYOR ama ÜSTÜNE ÇIKMIYOR</t>
  </si>
  <si>
    <t>İki makale birlikte değerlendirilmeli. AMA kritik sorunlar hala çözülmemiş.</t>
  </si>
  <si>
    <t>RELATİVİSTİK KÜTLE her iki makalede de EKSİK - yeni çalışma gerekli.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</si>
</sst>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b/>
      <sz val="14"/>
      <color theme="1"/>
      <name val="Aptos Narrow"/>
      <family val="2"/>
      <charset val="162"/>
      <scheme val="minor"/>
    </font>
    <font>
      <b/>
      <sz val="12"/>
      <color theme="1"/>
      <name val="Aptos Narrow"/>
      <family val="2"/>
      <charset val="162"/>
      <scheme val="minor"/>
    </font>
    <font>
      <b/>
      <sz val="12"/>
      <color rgb="FFFFFFFF"/>
      <name val="Aptos Narrow"/>
      <family val="2"/>
      <charset val="162"/>
      <scheme val="minor"/>
    </font>
    <font>
      <b/>
      <sz val="11"/>
      <color rgb="FFFFFFFF"/>
      <name val="Aptos Narrow"/>
      <family val="2"/>
      <charset val="16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3F2FD"/>
        <bgColor indexed="64"/>
      </patternFill>
    </fill>
    <fill>
      <patternFill patternType="solid">
        <fgColor rgb="FFBBDEFB"/>
        <bgColor indexed="64"/>
      </patternFill>
    </fill>
    <fill>
      <patternFill patternType="solid">
        <fgColor rgb="FFE8F5E9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DD2"/>
        <bgColor indexed="64"/>
      </patternFill>
    </fill>
    <fill>
      <patternFill patternType="solid">
        <fgColor rgb="FFFFF3E0"/>
        <bgColor indexed="64"/>
      </patternFill>
    </fill>
    <fill>
      <patternFill patternType="solid">
        <fgColor rgb="FFFFE0B2"/>
        <bgColor indexed="64"/>
      </patternFill>
    </fill>
    <fill>
      <patternFill patternType="solid">
        <fgColor rgb="FFF3E5F5"/>
        <bgColor indexed="64"/>
      </patternFill>
    </fill>
    <fill>
      <patternFill patternType="solid">
        <fgColor rgb="FFE1BEE7"/>
        <bgColor indexed="64"/>
      </patternFill>
    </fill>
    <fill>
      <patternFill patternType="solid">
        <fgColor rgb="FF1A237E"/>
        <bgColor indexed="64"/>
      </patternFill>
    </fill>
    <fill>
      <patternFill patternType="solid">
        <fgColor rgb="FFE0E0E0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B71C1C"/>
        <bgColor indexed="64"/>
      </patternFill>
    </fill>
    <fill>
      <patternFill patternType="solid">
        <fgColor rgb="FFFFEB3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9" fontId="0" fillId="0" borderId="0" xfId="0" applyNumberFormat="1"/>
    <xf numFmtId="0" fontId="3" fillId="7" borderId="0" xfId="0" applyFont="1" applyFill="1"/>
    <xf numFmtId="0" fontId="4" fillId="12" borderId="0" xfId="0" applyFont="1" applyFill="1"/>
    <xf numFmtId="0" fontId="1" fillId="13" borderId="0" xfId="0" applyFont="1" applyFill="1"/>
    <xf numFmtId="0" fontId="1" fillId="14" borderId="0" xfId="0" applyFont="1" applyFill="1"/>
    <xf numFmtId="0" fontId="5" fillId="15" borderId="0" xfId="0" applyFont="1" applyFill="1"/>
    <xf numFmtId="0" fontId="1" fillId="16" borderId="0" xfId="0" applyFont="1" applyFill="1"/>
    <xf numFmtId="0" fontId="5" fillId="12" borderId="0" xfId="0" applyFon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4594-52DB-431B-8982-4F83074C4DAD}">
  <sheetPr codeName="Sayfa8"/>
  <dimension ref="A1:G153"/>
  <sheetViews>
    <sheetView tabSelected="1" topLeftCell="A132" workbookViewId="0">
      <selection activeCell="D157" sqref="D157"/>
    </sheetView>
  </sheetViews>
  <sheetFormatPr defaultRowHeight="15" x14ac:dyDescent="0.25"/>
  <cols>
    <col min="1" max="1" width="76.140625" customWidth="1"/>
    <col min="2" max="5" width="19" customWidth="1"/>
  </cols>
  <sheetData>
    <row r="1" spans="1:6" ht="18.75" x14ac:dyDescent="0.3">
      <c r="A1" s="1" t="s">
        <v>0</v>
      </c>
    </row>
    <row r="2" spans="1:6" x14ac:dyDescent="0.25">
      <c r="A2" t="s">
        <v>1</v>
      </c>
    </row>
    <row r="4" spans="1:6" x14ac:dyDescent="0.25">
      <c r="A4" s="2" t="s">
        <v>2</v>
      </c>
    </row>
    <row r="5" spans="1:6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</row>
    <row r="6" spans="1:6" x14ac:dyDescent="0.25">
      <c r="A6" t="s">
        <v>9</v>
      </c>
      <c r="B6" t="s">
        <v>10</v>
      </c>
      <c r="C6" t="s">
        <v>11</v>
      </c>
      <c r="D6" t="s">
        <v>12</v>
      </c>
      <c r="E6" t="s">
        <v>13</v>
      </c>
      <c r="F6">
        <v>6</v>
      </c>
    </row>
    <row r="7" spans="1:6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>
        <v>0</v>
      </c>
    </row>
    <row r="8" spans="1:6" x14ac:dyDescent="0.25">
      <c r="A8" t="s">
        <v>19</v>
      </c>
      <c r="B8" t="s">
        <v>20</v>
      </c>
      <c r="C8" t="s">
        <v>21</v>
      </c>
      <c r="D8" t="s">
        <v>22</v>
      </c>
      <c r="E8" t="s">
        <v>23</v>
      </c>
      <c r="F8">
        <v>8</v>
      </c>
    </row>
    <row r="9" spans="1:6" x14ac:dyDescent="0.25">
      <c r="A9" t="s">
        <v>24</v>
      </c>
      <c r="B9" t="s">
        <v>25</v>
      </c>
      <c r="C9" t="s">
        <v>26</v>
      </c>
      <c r="D9" t="s">
        <v>27</v>
      </c>
      <c r="E9" t="s">
        <v>28</v>
      </c>
      <c r="F9">
        <v>4</v>
      </c>
    </row>
    <row r="10" spans="1:6" x14ac:dyDescent="0.25">
      <c r="A10" t="s">
        <v>29</v>
      </c>
      <c r="B10" t="s">
        <v>30</v>
      </c>
      <c r="C10" t="s">
        <v>31</v>
      </c>
      <c r="D10" t="s">
        <v>27</v>
      </c>
      <c r="E10" t="s">
        <v>32</v>
      </c>
      <c r="F10">
        <v>5</v>
      </c>
    </row>
    <row r="11" spans="1:6" x14ac:dyDescent="0.25">
      <c r="A11" t="s">
        <v>33</v>
      </c>
      <c r="B11" t="s">
        <v>34</v>
      </c>
      <c r="C11" t="s">
        <v>35</v>
      </c>
      <c r="D11" t="s">
        <v>22</v>
      </c>
      <c r="E11" t="s">
        <v>23</v>
      </c>
      <c r="F11">
        <v>8</v>
      </c>
    </row>
    <row r="12" spans="1:6" x14ac:dyDescent="0.25">
      <c r="A12" t="s">
        <v>36</v>
      </c>
      <c r="B12" t="s">
        <v>37</v>
      </c>
      <c r="C12" t="s">
        <v>38</v>
      </c>
      <c r="D12" t="s">
        <v>39</v>
      </c>
      <c r="E12" t="s">
        <v>40</v>
      </c>
      <c r="F12">
        <v>7</v>
      </c>
    </row>
    <row r="13" spans="1:6" x14ac:dyDescent="0.25">
      <c r="A13" t="s">
        <v>41</v>
      </c>
      <c r="B13" t="s">
        <v>42</v>
      </c>
      <c r="C13" t="s">
        <v>43</v>
      </c>
      <c r="D13" t="s">
        <v>44</v>
      </c>
      <c r="E13" t="s">
        <v>45</v>
      </c>
      <c r="F13">
        <v>0</v>
      </c>
    </row>
    <row r="14" spans="1:6" x14ac:dyDescent="0.25">
      <c r="A14" t="s">
        <v>46</v>
      </c>
      <c r="B14" t="s">
        <v>37</v>
      </c>
      <c r="C14" t="s">
        <v>47</v>
      </c>
      <c r="D14" t="s">
        <v>48</v>
      </c>
      <c r="E14" t="s">
        <v>49</v>
      </c>
      <c r="F14">
        <v>0</v>
      </c>
    </row>
    <row r="15" spans="1:6" x14ac:dyDescent="0.25">
      <c r="A15" t="s">
        <v>50</v>
      </c>
      <c r="B15" t="s">
        <v>37</v>
      </c>
      <c r="C15" t="s">
        <v>47</v>
      </c>
      <c r="D15" t="s">
        <v>48</v>
      </c>
      <c r="E15" t="s">
        <v>51</v>
      </c>
      <c r="F15">
        <v>0</v>
      </c>
    </row>
    <row r="16" spans="1:6" x14ac:dyDescent="0.25">
      <c r="A16" t="s">
        <v>52</v>
      </c>
      <c r="B16" t="s">
        <v>53</v>
      </c>
      <c r="C16" t="s">
        <v>54</v>
      </c>
      <c r="D16" t="s">
        <v>55</v>
      </c>
      <c r="E16" t="s">
        <v>56</v>
      </c>
      <c r="F16">
        <v>5</v>
      </c>
    </row>
    <row r="17" spans="1:6" x14ac:dyDescent="0.25">
      <c r="A17" s="4" t="s">
        <v>57</v>
      </c>
      <c r="F17" s="4">
        <f>AVERAGE(F6:F16)</f>
        <v>3.9090909090909092</v>
      </c>
    </row>
    <row r="19" spans="1:6" x14ac:dyDescent="0.25">
      <c r="A19" s="5" t="s">
        <v>58</v>
      </c>
    </row>
    <row r="20" spans="1:6" x14ac:dyDescent="0.25">
      <c r="A20" s="6" t="s">
        <v>59</v>
      </c>
      <c r="B20" s="6" t="s">
        <v>60</v>
      </c>
      <c r="C20" s="6" t="s">
        <v>61</v>
      </c>
      <c r="D20" s="6" t="s">
        <v>62</v>
      </c>
      <c r="E20" s="6" t="s">
        <v>8</v>
      </c>
    </row>
    <row r="21" spans="1:6" x14ac:dyDescent="0.25">
      <c r="A21">
        <v>1</v>
      </c>
      <c r="B21" t="s">
        <v>19</v>
      </c>
      <c r="C21" t="s">
        <v>63</v>
      </c>
      <c r="D21" t="s">
        <v>64</v>
      </c>
      <c r="E21">
        <v>8</v>
      </c>
    </row>
    <row r="22" spans="1:6" x14ac:dyDescent="0.25">
      <c r="A22">
        <v>2</v>
      </c>
      <c r="B22" t="s">
        <v>65</v>
      </c>
      <c r="C22" t="s">
        <v>66</v>
      </c>
      <c r="D22" t="s">
        <v>67</v>
      </c>
      <c r="E22">
        <v>7</v>
      </c>
    </row>
    <row r="23" spans="1:6" x14ac:dyDescent="0.25">
      <c r="A23">
        <v>3</v>
      </c>
      <c r="B23" t="s">
        <v>68</v>
      </c>
      <c r="C23" t="s">
        <v>69</v>
      </c>
      <c r="D23" t="s">
        <v>70</v>
      </c>
      <c r="E23">
        <v>8</v>
      </c>
    </row>
    <row r="24" spans="1:6" x14ac:dyDescent="0.25">
      <c r="A24">
        <v>4</v>
      </c>
      <c r="B24" t="s">
        <v>71</v>
      </c>
      <c r="C24" t="s">
        <v>72</v>
      </c>
      <c r="D24" t="s">
        <v>73</v>
      </c>
      <c r="E24">
        <v>7</v>
      </c>
    </row>
    <row r="25" spans="1:6" x14ac:dyDescent="0.25">
      <c r="A25">
        <v>5</v>
      </c>
      <c r="B25" t="s">
        <v>74</v>
      </c>
      <c r="C25" t="s">
        <v>75</v>
      </c>
      <c r="D25" t="s">
        <v>76</v>
      </c>
      <c r="E25">
        <v>7</v>
      </c>
    </row>
    <row r="26" spans="1:6" x14ac:dyDescent="0.25">
      <c r="A26">
        <v>6</v>
      </c>
      <c r="B26" t="s">
        <v>77</v>
      </c>
      <c r="C26" t="s">
        <v>78</v>
      </c>
      <c r="D26" t="s">
        <v>79</v>
      </c>
      <c r="E26">
        <v>8</v>
      </c>
    </row>
    <row r="27" spans="1:6" x14ac:dyDescent="0.25">
      <c r="A27">
        <v>7</v>
      </c>
      <c r="B27" t="s">
        <v>80</v>
      </c>
      <c r="C27" t="s">
        <v>81</v>
      </c>
      <c r="D27" t="s">
        <v>82</v>
      </c>
      <c r="E27">
        <v>5</v>
      </c>
    </row>
    <row r="28" spans="1:6" x14ac:dyDescent="0.25">
      <c r="A28" s="4" t="s">
        <v>83</v>
      </c>
      <c r="E28">
        <f>AVERAGE(E21:E27)</f>
        <v>7.1428571428571432</v>
      </c>
    </row>
    <row r="30" spans="1:6" x14ac:dyDescent="0.25">
      <c r="A30" s="7" t="s">
        <v>84</v>
      </c>
    </row>
    <row r="31" spans="1:6" x14ac:dyDescent="0.25">
      <c r="A31" s="8" t="s">
        <v>59</v>
      </c>
      <c r="B31" s="8" t="s">
        <v>85</v>
      </c>
      <c r="C31" s="8" t="s">
        <v>86</v>
      </c>
      <c r="D31" s="8" t="s">
        <v>87</v>
      </c>
      <c r="E31" s="8" t="s">
        <v>88</v>
      </c>
    </row>
    <row r="32" spans="1:6" x14ac:dyDescent="0.25">
      <c r="A32">
        <v>1</v>
      </c>
      <c r="B32" t="s">
        <v>89</v>
      </c>
      <c r="C32" t="s">
        <v>90</v>
      </c>
      <c r="D32" t="s">
        <v>91</v>
      </c>
      <c r="E32" t="s">
        <v>92</v>
      </c>
    </row>
    <row r="33" spans="1:5" x14ac:dyDescent="0.25">
      <c r="A33">
        <v>2</v>
      </c>
      <c r="B33" t="s">
        <v>93</v>
      </c>
      <c r="C33" t="s">
        <v>94</v>
      </c>
      <c r="D33" t="s">
        <v>91</v>
      </c>
      <c r="E33" t="s">
        <v>95</v>
      </c>
    </row>
    <row r="34" spans="1:5" x14ac:dyDescent="0.25">
      <c r="A34">
        <v>3</v>
      </c>
      <c r="B34" t="s">
        <v>96</v>
      </c>
      <c r="C34" t="s">
        <v>97</v>
      </c>
      <c r="D34" t="s">
        <v>91</v>
      </c>
      <c r="E34" t="s">
        <v>98</v>
      </c>
    </row>
    <row r="35" spans="1:5" x14ac:dyDescent="0.25">
      <c r="A35">
        <v>4</v>
      </c>
      <c r="B35" t="s">
        <v>99</v>
      </c>
      <c r="C35" t="s">
        <v>100</v>
      </c>
      <c r="D35" t="s">
        <v>91</v>
      </c>
      <c r="E35" t="s">
        <v>101</v>
      </c>
    </row>
    <row r="36" spans="1:5" x14ac:dyDescent="0.25">
      <c r="A36">
        <v>5</v>
      </c>
      <c r="B36" t="s">
        <v>102</v>
      </c>
      <c r="C36" t="s">
        <v>103</v>
      </c>
      <c r="D36" t="s">
        <v>104</v>
      </c>
      <c r="E36" t="s">
        <v>105</v>
      </c>
    </row>
    <row r="37" spans="1:5" x14ac:dyDescent="0.25">
      <c r="A37">
        <v>6</v>
      </c>
      <c r="B37" t="s">
        <v>46</v>
      </c>
      <c r="C37" t="s">
        <v>47</v>
      </c>
      <c r="D37" t="s">
        <v>91</v>
      </c>
      <c r="E37" t="s">
        <v>106</v>
      </c>
    </row>
    <row r="38" spans="1:5" x14ac:dyDescent="0.25">
      <c r="A38">
        <v>7</v>
      </c>
      <c r="B38" t="s">
        <v>107</v>
      </c>
      <c r="C38" t="s">
        <v>47</v>
      </c>
      <c r="D38" t="s">
        <v>91</v>
      </c>
      <c r="E38" t="s">
        <v>108</v>
      </c>
    </row>
    <row r="39" spans="1:5" x14ac:dyDescent="0.25">
      <c r="A39">
        <v>8</v>
      </c>
      <c r="B39" t="s">
        <v>109</v>
      </c>
      <c r="C39" t="s">
        <v>47</v>
      </c>
      <c r="D39" t="s">
        <v>104</v>
      </c>
      <c r="E39" t="s">
        <v>110</v>
      </c>
    </row>
    <row r="40" spans="1:5" x14ac:dyDescent="0.25">
      <c r="A40">
        <v>9</v>
      </c>
      <c r="B40" t="s">
        <v>50</v>
      </c>
      <c r="C40" t="s">
        <v>47</v>
      </c>
      <c r="D40" t="s">
        <v>104</v>
      </c>
      <c r="E40" t="s">
        <v>111</v>
      </c>
    </row>
    <row r="41" spans="1:5" x14ac:dyDescent="0.25">
      <c r="A41">
        <v>10</v>
      </c>
      <c r="B41" t="s">
        <v>112</v>
      </c>
      <c r="C41" t="s">
        <v>113</v>
      </c>
      <c r="D41" t="s">
        <v>91</v>
      </c>
      <c r="E41" t="s">
        <v>114</v>
      </c>
    </row>
    <row r="43" spans="1:5" x14ac:dyDescent="0.25">
      <c r="A43" s="9" t="s">
        <v>115</v>
      </c>
    </row>
    <row r="44" spans="1:5" x14ac:dyDescent="0.25">
      <c r="A44" s="10" t="s">
        <v>116</v>
      </c>
      <c r="B44" s="10" t="s">
        <v>4</v>
      </c>
      <c r="C44" s="10" t="s">
        <v>5</v>
      </c>
      <c r="D44" s="10" t="s">
        <v>6</v>
      </c>
      <c r="E44" s="10" t="s">
        <v>117</v>
      </c>
    </row>
    <row r="45" spans="1:5" x14ac:dyDescent="0.25">
      <c r="A45" t="s">
        <v>118</v>
      </c>
      <c r="B45" t="s">
        <v>119</v>
      </c>
      <c r="C45" t="s">
        <v>120</v>
      </c>
      <c r="D45">
        <v>1</v>
      </c>
      <c r="E45">
        <v>4</v>
      </c>
    </row>
    <row r="46" spans="1:5" x14ac:dyDescent="0.25">
      <c r="A46" t="s">
        <v>121</v>
      </c>
      <c r="B46" t="s">
        <v>122</v>
      </c>
      <c r="C46" t="s">
        <v>123</v>
      </c>
      <c r="D46">
        <v>2</v>
      </c>
      <c r="E46">
        <v>5</v>
      </c>
    </row>
    <row r="47" spans="1:5" x14ac:dyDescent="0.25">
      <c r="A47" t="s">
        <v>124</v>
      </c>
      <c r="B47" t="s">
        <v>119</v>
      </c>
      <c r="C47" t="s">
        <v>125</v>
      </c>
      <c r="D47">
        <v>1</v>
      </c>
      <c r="E47">
        <v>3</v>
      </c>
    </row>
    <row r="48" spans="1:5" x14ac:dyDescent="0.25">
      <c r="A48" t="s">
        <v>126</v>
      </c>
      <c r="B48" t="s">
        <v>127</v>
      </c>
      <c r="C48" t="s">
        <v>128</v>
      </c>
      <c r="D48">
        <v>0</v>
      </c>
      <c r="E48">
        <v>8</v>
      </c>
    </row>
    <row r="49" spans="1:5" x14ac:dyDescent="0.25">
      <c r="A49" t="s">
        <v>129</v>
      </c>
      <c r="B49" t="s">
        <v>122</v>
      </c>
      <c r="C49" t="s">
        <v>130</v>
      </c>
      <c r="D49">
        <v>1</v>
      </c>
      <c r="E49">
        <v>6</v>
      </c>
    </row>
    <row r="50" spans="1:5" x14ac:dyDescent="0.25">
      <c r="A50" t="s">
        <v>131</v>
      </c>
      <c r="B50" t="s">
        <v>122</v>
      </c>
      <c r="C50" t="s">
        <v>31</v>
      </c>
      <c r="D50">
        <v>0</v>
      </c>
      <c r="E50">
        <v>6</v>
      </c>
    </row>
    <row r="51" spans="1:5" x14ac:dyDescent="0.25">
      <c r="A51" t="s">
        <v>132</v>
      </c>
      <c r="B51" t="s">
        <v>119</v>
      </c>
      <c r="C51" t="s">
        <v>133</v>
      </c>
      <c r="D51">
        <v>-2</v>
      </c>
      <c r="E51">
        <v>2</v>
      </c>
    </row>
    <row r="52" spans="1:5" x14ac:dyDescent="0.25">
      <c r="A52" t="s">
        <v>134</v>
      </c>
      <c r="B52" t="s">
        <v>127</v>
      </c>
      <c r="C52" t="s">
        <v>135</v>
      </c>
      <c r="D52">
        <v>1</v>
      </c>
      <c r="E52">
        <v>7</v>
      </c>
    </row>
    <row r="53" spans="1:5" x14ac:dyDescent="0.25">
      <c r="A53" t="s">
        <v>136</v>
      </c>
      <c r="B53" t="s">
        <v>127</v>
      </c>
      <c r="C53" t="s">
        <v>31</v>
      </c>
      <c r="D53">
        <v>0</v>
      </c>
      <c r="E53">
        <v>8</v>
      </c>
    </row>
    <row r="54" spans="1:5" x14ac:dyDescent="0.25">
      <c r="A54" t="s">
        <v>137</v>
      </c>
      <c r="B54" t="s">
        <v>127</v>
      </c>
      <c r="C54" t="s">
        <v>133</v>
      </c>
      <c r="D54">
        <v>-3</v>
      </c>
      <c r="E54">
        <v>5</v>
      </c>
    </row>
    <row r="55" spans="1:5" x14ac:dyDescent="0.25">
      <c r="A55" s="4" t="s">
        <v>138</v>
      </c>
      <c r="E55" s="4">
        <f>AVERAGE(E45:E54)</f>
        <v>5.4</v>
      </c>
    </row>
    <row r="57" spans="1:5" x14ac:dyDescent="0.25">
      <c r="A57" s="11" t="s">
        <v>139</v>
      </c>
    </row>
    <row r="58" spans="1:5" x14ac:dyDescent="0.25">
      <c r="A58" s="12" t="s">
        <v>140</v>
      </c>
      <c r="B58" s="12" t="s">
        <v>4</v>
      </c>
      <c r="C58" s="12" t="s">
        <v>5</v>
      </c>
      <c r="D58" s="12" t="s">
        <v>6</v>
      </c>
      <c r="E58" s="12" t="s">
        <v>141</v>
      </c>
    </row>
    <row r="59" spans="1:5" x14ac:dyDescent="0.25">
      <c r="A59" t="s">
        <v>142</v>
      </c>
      <c r="B59" s="13">
        <v>0.85</v>
      </c>
      <c r="C59" s="13">
        <v>0.85</v>
      </c>
      <c r="D59" t="s">
        <v>143</v>
      </c>
      <c r="E59" t="s">
        <v>144</v>
      </c>
    </row>
    <row r="60" spans="1:5" x14ac:dyDescent="0.25">
      <c r="A60" t="s">
        <v>145</v>
      </c>
      <c r="B60" s="13">
        <v>0.4</v>
      </c>
      <c r="C60" s="13">
        <v>0.65</v>
      </c>
      <c r="D60" s="13">
        <v>0.25</v>
      </c>
      <c r="E60" t="s">
        <v>146</v>
      </c>
    </row>
    <row r="61" spans="1:5" x14ac:dyDescent="0.25">
      <c r="A61" t="s">
        <v>147</v>
      </c>
      <c r="B61" s="13">
        <v>0.7</v>
      </c>
      <c r="C61" s="13">
        <v>0.3</v>
      </c>
      <c r="D61" s="13">
        <v>-0.4</v>
      </c>
      <c r="E61" t="s">
        <v>148</v>
      </c>
    </row>
    <row r="62" spans="1:5" x14ac:dyDescent="0.25">
      <c r="A62" t="s">
        <v>41</v>
      </c>
      <c r="B62" s="13">
        <v>0.2</v>
      </c>
      <c r="C62" s="13">
        <v>0</v>
      </c>
      <c r="D62" s="13">
        <v>-0.2</v>
      </c>
      <c r="E62" t="s">
        <v>149</v>
      </c>
    </row>
    <row r="63" spans="1:5" x14ac:dyDescent="0.25">
      <c r="A63" t="s">
        <v>150</v>
      </c>
      <c r="B63" s="13">
        <v>0.05</v>
      </c>
      <c r="C63" s="13">
        <v>0.05</v>
      </c>
      <c r="D63" t="s">
        <v>143</v>
      </c>
      <c r="E63" t="s">
        <v>151</v>
      </c>
    </row>
    <row r="64" spans="1:5" x14ac:dyDescent="0.25">
      <c r="A64" t="s">
        <v>152</v>
      </c>
      <c r="B64" s="13">
        <v>0</v>
      </c>
      <c r="C64" s="13">
        <v>0</v>
      </c>
      <c r="D64" t="s">
        <v>143</v>
      </c>
      <c r="E64" t="s">
        <v>151</v>
      </c>
    </row>
    <row r="65" spans="1:5" x14ac:dyDescent="0.25">
      <c r="A65" t="s">
        <v>118</v>
      </c>
      <c r="B65" s="13">
        <v>0.25</v>
      </c>
      <c r="C65" s="13">
        <v>0.35</v>
      </c>
      <c r="D65" s="13">
        <v>0.1</v>
      </c>
      <c r="E65" t="s">
        <v>153</v>
      </c>
    </row>
    <row r="66" spans="1:5" x14ac:dyDescent="0.25">
      <c r="A66" t="s">
        <v>154</v>
      </c>
      <c r="B66" s="13">
        <v>0.3</v>
      </c>
      <c r="C66" s="13">
        <v>0.5</v>
      </c>
      <c r="D66" s="13">
        <v>0.2</v>
      </c>
      <c r="E66" t="s">
        <v>146</v>
      </c>
    </row>
    <row r="68" spans="1:5" ht="15.75" x14ac:dyDescent="0.25">
      <c r="A68" s="14" t="s">
        <v>155</v>
      </c>
    </row>
    <row r="70" spans="1:5" x14ac:dyDescent="0.25">
      <c r="A70" s="4" t="s">
        <v>156</v>
      </c>
    </row>
    <row r="72" spans="1:5" x14ac:dyDescent="0.25">
      <c r="A72" s="6" t="s">
        <v>157</v>
      </c>
    </row>
    <row r="73" spans="1:5" x14ac:dyDescent="0.25">
      <c r="A73" t="s">
        <v>158</v>
      </c>
    </row>
    <row r="74" spans="1:5" x14ac:dyDescent="0.25">
      <c r="A74" t="s">
        <v>159</v>
      </c>
    </row>
    <row r="75" spans="1:5" x14ac:dyDescent="0.25">
      <c r="A75" t="s">
        <v>160</v>
      </c>
    </row>
    <row r="76" spans="1:5" x14ac:dyDescent="0.25">
      <c r="A76" t="s">
        <v>161</v>
      </c>
    </row>
    <row r="77" spans="1:5" x14ac:dyDescent="0.25">
      <c r="A77" t="s">
        <v>162</v>
      </c>
    </row>
    <row r="79" spans="1:5" x14ac:dyDescent="0.25">
      <c r="A79" s="8" t="s">
        <v>163</v>
      </c>
    </row>
    <row r="80" spans="1:5" x14ac:dyDescent="0.25">
      <c r="A80" t="s">
        <v>164</v>
      </c>
    </row>
    <row r="81" spans="1:1" x14ac:dyDescent="0.25">
      <c r="A81" t="s">
        <v>165</v>
      </c>
    </row>
    <row r="82" spans="1:1" x14ac:dyDescent="0.25">
      <c r="A82" t="s">
        <v>166</v>
      </c>
    </row>
    <row r="83" spans="1:1" x14ac:dyDescent="0.25">
      <c r="A83" t="s">
        <v>167</v>
      </c>
    </row>
    <row r="84" spans="1:1" x14ac:dyDescent="0.25">
      <c r="A84" t="s">
        <v>168</v>
      </c>
    </row>
    <row r="85" spans="1:1" x14ac:dyDescent="0.25">
      <c r="A85" t="s">
        <v>169</v>
      </c>
    </row>
    <row r="86" spans="1:1" x14ac:dyDescent="0.25">
      <c r="A86" t="s">
        <v>170</v>
      </c>
    </row>
    <row r="87" spans="1:1" x14ac:dyDescent="0.25">
      <c r="A87" t="s">
        <v>171</v>
      </c>
    </row>
    <row r="89" spans="1:1" ht="15.75" x14ac:dyDescent="0.25">
      <c r="A89" s="15" t="s">
        <v>172</v>
      </c>
    </row>
    <row r="91" spans="1:1" x14ac:dyDescent="0.25">
      <c r="A91" s="4" t="s">
        <v>173</v>
      </c>
    </row>
    <row r="93" spans="1:1" x14ac:dyDescent="0.25">
      <c r="A93" s="4" t="s">
        <v>174</v>
      </c>
    </row>
    <row r="94" spans="1:1" x14ac:dyDescent="0.25">
      <c r="A94" t="s">
        <v>175</v>
      </c>
    </row>
    <row r="95" spans="1:1" x14ac:dyDescent="0.25">
      <c r="A95" s="4" t="s">
        <v>176</v>
      </c>
    </row>
    <row r="96" spans="1:1" x14ac:dyDescent="0.25">
      <c r="A96" t="s">
        <v>177</v>
      </c>
    </row>
    <row r="98" spans="1:4" x14ac:dyDescent="0.25">
      <c r="A98" s="4" t="s">
        <v>178</v>
      </c>
    </row>
    <row r="99" spans="1:4" x14ac:dyDescent="0.25">
      <c r="A99" t="s">
        <v>179</v>
      </c>
    </row>
    <row r="100" spans="1:4" x14ac:dyDescent="0.25">
      <c r="A100" t="s">
        <v>180</v>
      </c>
    </row>
    <row r="101" spans="1:4" x14ac:dyDescent="0.25">
      <c r="A101" t="s">
        <v>181</v>
      </c>
    </row>
    <row r="103" spans="1:4" x14ac:dyDescent="0.25">
      <c r="A103" s="4" t="s">
        <v>182</v>
      </c>
    </row>
    <row r="104" spans="1:4" x14ac:dyDescent="0.25">
      <c r="A104" s="16" t="s">
        <v>183</v>
      </c>
      <c r="B104" s="16" t="s">
        <v>4</v>
      </c>
      <c r="C104" s="16" t="s">
        <v>5</v>
      </c>
      <c r="D104" s="16" t="s">
        <v>184</v>
      </c>
    </row>
    <row r="105" spans="1:4" x14ac:dyDescent="0.25">
      <c r="A105" t="s">
        <v>185</v>
      </c>
      <c r="B105" t="s">
        <v>186</v>
      </c>
      <c r="C105" t="s">
        <v>187</v>
      </c>
      <c r="D105" t="s">
        <v>188</v>
      </c>
    </row>
    <row r="106" spans="1:4" x14ac:dyDescent="0.25">
      <c r="A106" t="s">
        <v>145</v>
      </c>
      <c r="B106" t="s">
        <v>119</v>
      </c>
      <c r="C106" t="s">
        <v>127</v>
      </c>
      <c r="D106" t="s">
        <v>189</v>
      </c>
    </row>
    <row r="107" spans="1:4" x14ac:dyDescent="0.25">
      <c r="A107" t="s">
        <v>147</v>
      </c>
      <c r="B107" t="s">
        <v>127</v>
      </c>
      <c r="C107" t="s">
        <v>119</v>
      </c>
      <c r="D107" t="s">
        <v>190</v>
      </c>
    </row>
    <row r="108" spans="1:4" x14ac:dyDescent="0.25">
      <c r="A108" t="s">
        <v>137</v>
      </c>
      <c r="B108" t="s">
        <v>191</v>
      </c>
      <c r="C108" t="s">
        <v>192</v>
      </c>
      <c r="D108" t="s">
        <v>193</v>
      </c>
    </row>
    <row r="109" spans="1:4" x14ac:dyDescent="0.25">
      <c r="A109" t="s">
        <v>194</v>
      </c>
      <c r="B109" s="13">
        <v>0.21</v>
      </c>
      <c r="C109" s="13">
        <v>0.24</v>
      </c>
      <c r="D109" t="s">
        <v>195</v>
      </c>
    </row>
    <row r="111" spans="1:4" x14ac:dyDescent="0.25">
      <c r="A111" s="17" t="s">
        <v>196</v>
      </c>
    </row>
    <row r="112" spans="1:4" x14ac:dyDescent="0.25">
      <c r="A112" t="s">
        <v>197</v>
      </c>
    </row>
    <row r="113" spans="1:7" x14ac:dyDescent="0.25">
      <c r="A113" t="s">
        <v>198</v>
      </c>
    </row>
    <row r="114" spans="1:7" x14ac:dyDescent="0.25">
      <c r="A114" t="s">
        <v>199</v>
      </c>
    </row>
    <row r="115" spans="1:7" x14ac:dyDescent="0.25">
      <c r="A115" t="s">
        <v>200</v>
      </c>
    </row>
    <row r="117" spans="1:7" x14ac:dyDescent="0.25">
      <c r="A117" s="18" t="s">
        <v>201</v>
      </c>
    </row>
    <row r="119" spans="1:7" x14ac:dyDescent="0.25">
      <c r="A119" s="4" t="s">
        <v>202</v>
      </c>
    </row>
    <row r="121" spans="1:7" x14ac:dyDescent="0.25">
      <c r="A121" s="8" t="s">
        <v>203</v>
      </c>
      <c r="B121" s="8" t="s">
        <v>204</v>
      </c>
      <c r="C121" s="8" t="s">
        <v>205</v>
      </c>
      <c r="D121" s="8" t="s">
        <v>206</v>
      </c>
      <c r="E121" s="8" t="s">
        <v>207</v>
      </c>
      <c r="F121" s="8" t="s">
        <v>208</v>
      </c>
      <c r="G121" s="8" t="s">
        <v>141</v>
      </c>
    </row>
    <row r="122" spans="1:7" x14ac:dyDescent="0.25">
      <c r="A122">
        <v>0.1</v>
      </c>
      <c r="B122">
        <f t="shared" ref="B122:B127" si="0">1/SQRT(1-A122^2)</f>
        <v>1.0050378152592121</v>
      </c>
      <c r="C122">
        <f t="shared" ref="C122:C127" si="1">B122</f>
        <v>1.0050378152592121</v>
      </c>
      <c r="D122" t="s">
        <v>209</v>
      </c>
      <c r="E122" t="str">
        <f t="shared" ref="E122:E127" si="2">IF(B122&gt;17,"AŞTI","OK")</f>
        <v>OK</v>
      </c>
      <c r="F122" t="s">
        <v>210</v>
      </c>
      <c r="G122" t="s">
        <v>211</v>
      </c>
    </row>
    <row r="123" spans="1:7" x14ac:dyDescent="0.25">
      <c r="A123">
        <v>0.5</v>
      </c>
      <c r="B123">
        <f t="shared" si="0"/>
        <v>1.1547005383792517</v>
      </c>
      <c r="C123">
        <f t="shared" si="1"/>
        <v>1.1547005383792517</v>
      </c>
      <c r="D123" t="s">
        <v>209</v>
      </c>
      <c r="E123" t="str">
        <f t="shared" si="2"/>
        <v>OK</v>
      </c>
      <c r="F123" t="s">
        <v>210</v>
      </c>
      <c r="G123" t="s">
        <v>211</v>
      </c>
    </row>
    <row r="124" spans="1:7" x14ac:dyDescent="0.25">
      <c r="A124">
        <v>0.9</v>
      </c>
      <c r="B124">
        <f t="shared" si="0"/>
        <v>2.294157338705618</v>
      </c>
      <c r="C124">
        <f t="shared" si="1"/>
        <v>2.294157338705618</v>
      </c>
      <c r="D124" t="s">
        <v>209</v>
      </c>
      <c r="E124" t="str">
        <f t="shared" si="2"/>
        <v>OK</v>
      </c>
      <c r="F124" t="s">
        <v>212</v>
      </c>
      <c r="G124" t="s">
        <v>213</v>
      </c>
    </row>
    <row r="125" spans="1:7" x14ac:dyDescent="0.25">
      <c r="A125">
        <v>0.99</v>
      </c>
      <c r="B125">
        <f t="shared" si="0"/>
        <v>7.0888120500833542</v>
      </c>
      <c r="C125">
        <f t="shared" si="1"/>
        <v>7.0888120500833542</v>
      </c>
      <c r="D125" t="s">
        <v>209</v>
      </c>
      <c r="E125" t="str">
        <f t="shared" si="2"/>
        <v>OK</v>
      </c>
      <c r="F125" t="s">
        <v>214</v>
      </c>
      <c r="G125" t="s">
        <v>213</v>
      </c>
    </row>
    <row r="126" spans="1:7" x14ac:dyDescent="0.25">
      <c r="A126">
        <v>0.999</v>
      </c>
      <c r="B126">
        <f t="shared" si="0"/>
        <v>22.366272042129371</v>
      </c>
      <c r="C126">
        <f t="shared" si="1"/>
        <v>22.366272042129371</v>
      </c>
      <c r="D126" t="s">
        <v>209</v>
      </c>
      <c r="E126" t="str">
        <f t="shared" si="2"/>
        <v>AŞTI</v>
      </c>
      <c r="F126" t="s">
        <v>215</v>
      </c>
      <c r="G126" t="s">
        <v>216</v>
      </c>
    </row>
    <row r="127" spans="1:7" x14ac:dyDescent="0.25">
      <c r="A127">
        <v>0.99990000000000001</v>
      </c>
      <c r="B127">
        <f t="shared" si="0"/>
        <v>70.712445951914518</v>
      </c>
      <c r="C127">
        <f t="shared" si="1"/>
        <v>70.712445951914518</v>
      </c>
      <c r="D127" t="s">
        <v>209</v>
      </c>
      <c r="E127" t="str">
        <f t="shared" si="2"/>
        <v>AŞTI</v>
      </c>
      <c r="F127" t="s">
        <v>217</v>
      </c>
      <c r="G127" t="s">
        <v>216</v>
      </c>
    </row>
    <row r="129" spans="1:4" x14ac:dyDescent="0.25">
      <c r="A129" s="19" t="s">
        <v>218</v>
      </c>
    </row>
    <row r="131" spans="1:4" x14ac:dyDescent="0.25">
      <c r="A131" s="5" t="s">
        <v>219</v>
      </c>
    </row>
    <row r="133" spans="1:4" x14ac:dyDescent="0.25">
      <c r="A133" s="6" t="s">
        <v>59</v>
      </c>
      <c r="B133" s="6" t="s">
        <v>220</v>
      </c>
      <c r="C133" s="6" t="s">
        <v>221</v>
      </c>
      <c r="D133" s="6" t="s">
        <v>184</v>
      </c>
    </row>
    <row r="134" spans="1:4" x14ac:dyDescent="0.25">
      <c r="A134">
        <v>1</v>
      </c>
      <c r="B134" t="s">
        <v>222</v>
      </c>
      <c r="C134" t="s">
        <v>223</v>
      </c>
      <c r="D134" t="s">
        <v>224</v>
      </c>
    </row>
    <row r="135" spans="1:4" x14ac:dyDescent="0.25">
      <c r="A135">
        <v>2</v>
      </c>
      <c r="B135" t="s">
        <v>225</v>
      </c>
      <c r="C135" t="s">
        <v>226</v>
      </c>
      <c r="D135" t="s">
        <v>227</v>
      </c>
    </row>
    <row r="136" spans="1:4" x14ac:dyDescent="0.25">
      <c r="A136">
        <v>3</v>
      </c>
      <c r="B136" t="s">
        <v>228</v>
      </c>
      <c r="C136" t="s">
        <v>229</v>
      </c>
      <c r="D136" t="s">
        <v>230</v>
      </c>
    </row>
    <row r="137" spans="1:4" x14ac:dyDescent="0.25">
      <c r="A137">
        <v>4</v>
      </c>
      <c r="B137" t="s">
        <v>231</v>
      </c>
      <c r="C137" t="s">
        <v>232</v>
      </c>
      <c r="D137" t="s">
        <v>233</v>
      </c>
    </row>
    <row r="138" spans="1:4" x14ac:dyDescent="0.25">
      <c r="A138">
        <v>5</v>
      </c>
      <c r="B138" t="s">
        <v>234</v>
      </c>
      <c r="C138" t="s">
        <v>235</v>
      </c>
      <c r="D138" t="s">
        <v>236</v>
      </c>
    </row>
    <row r="140" spans="1:4" x14ac:dyDescent="0.25">
      <c r="A140" s="20" t="s">
        <v>237</v>
      </c>
    </row>
    <row r="142" spans="1:4" x14ac:dyDescent="0.25">
      <c r="A142" s="4" t="s">
        <v>238</v>
      </c>
      <c r="B142" s="4" t="s">
        <v>141</v>
      </c>
      <c r="C142" s="4" t="s">
        <v>239</v>
      </c>
    </row>
    <row r="143" spans="1:4" x14ac:dyDescent="0.25">
      <c r="A143" t="s">
        <v>145</v>
      </c>
      <c r="B143" t="s">
        <v>240</v>
      </c>
      <c r="C143" t="s">
        <v>241</v>
      </c>
    </row>
    <row r="144" spans="1:4" x14ac:dyDescent="0.25">
      <c r="A144" t="s">
        <v>36</v>
      </c>
      <c r="B144" t="s">
        <v>242</v>
      </c>
      <c r="C144" t="s">
        <v>243</v>
      </c>
    </row>
    <row r="145" spans="1:3" x14ac:dyDescent="0.25">
      <c r="A145" t="s">
        <v>244</v>
      </c>
      <c r="B145" t="s">
        <v>146</v>
      </c>
      <c r="C145" t="s">
        <v>35</v>
      </c>
    </row>
    <row r="146" spans="1:3" x14ac:dyDescent="0.25">
      <c r="A146" t="s">
        <v>245</v>
      </c>
      <c r="B146" t="s">
        <v>148</v>
      </c>
      <c r="C146" t="s">
        <v>246</v>
      </c>
    </row>
    <row r="147" spans="1:3" x14ac:dyDescent="0.25">
      <c r="A147" t="s">
        <v>41</v>
      </c>
      <c r="B147" t="s">
        <v>149</v>
      </c>
      <c r="C147" t="s">
        <v>247</v>
      </c>
    </row>
    <row r="148" spans="1:3" x14ac:dyDescent="0.25">
      <c r="A148" t="s">
        <v>152</v>
      </c>
      <c r="B148" t="s">
        <v>248</v>
      </c>
      <c r="C148" t="s">
        <v>249</v>
      </c>
    </row>
    <row r="149" spans="1:3" x14ac:dyDescent="0.25">
      <c r="A149" t="s">
        <v>112</v>
      </c>
      <c r="B149" t="s">
        <v>248</v>
      </c>
      <c r="C149" t="s">
        <v>114</v>
      </c>
    </row>
    <row r="151" spans="1:3" x14ac:dyDescent="0.25">
      <c r="A151" s="4" t="s">
        <v>250</v>
      </c>
    </row>
    <row r="152" spans="1:3" x14ac:dyDescent="0.25">
      <c r="A152" t="s">
        <v>251</v>
      </c>
    </row>
    <row r="153" spans="1:3" x14ac:dyDescent="0.25">
      <c r="A153" s="2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Makale2 Analiz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From Homosapiens To Homo[DATA]</dc:creator>
  <cp:lastModifiedBy>From Homosapiens To Homo[DATA]</cp:lastModifiedBy>
  <dcterms:created xsi:type="dcterms:W3CDTF">2026-04-23T11:00:23Z</dcterms:created>
  <dcterms:modified xsi:type="dcterms:W3CDTF">2026-04-23T11:00:23Z</dcterms:modified>
</cp:coreProperties>
</file>