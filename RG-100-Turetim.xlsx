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417B5639-8F76-4F78-A99F-A2617E4DCAEB}" xr6:coauthVersionLast="47" xr6:coauthVersionMax="47" xr10:uidLastSave="{00000000-0000-0000-0000-000000000000}"/>
  <bookViews>
    <workbookView xWindow="-120" yWindow="-120" windowWidth="29040" windowHeight="15720" xr2:uid="{A23DDB44-7FCC-41E9-95E1-659562E9AB38}"/>
  </bookViews>
  <sheets>
    <sheet name="RG-100-Turet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2" i="1" l="1"/>
  <c r="C104" i="1" s="1"/>
  <c r="C105" i="1" s="1"/>
  <c r="C101" i="1"/>
  <c r="D98" i="1"/>
  <c r="C97" i="1"/>
  <c r="C91" i="1"/>
  <c r="C93" i="1" s="1"/>
  <c r="C94" i="1" s="1"/>
  <c r="C98" i="1" s="1"/>
  <c r="C92" i="1" l="1"/>
</calcChain>
</file>

<file path=xl/sharedStrings.xml><?xml version="1.0" encoding="utf-8"?>
<sst xmlns="http://schemas.openxmlformats.org/spreadsheetml/2006/main" count="46" uniqueCount="44">
  <si>
    <t>RG-100 ITERASYON TURETIMI</t>
  </si>
  <si>
    <t>TEMEL PARAMETRELER</t>
  </si>
  <si>
    <t>Parametre</t>
  </si>
  <si>
    <t>Sembol</t>
  </si>
  <si>
    <t>Deger</t>
  </si>
  <si>
    <t>Aciklama</t>
  </si>
  <si>
    <t>Planck Enerji</t>
  </si>
  <si>
    <t>E_P</t>
  </si>
  <si>
    <t>GeV</t>
  </si>
  <si>
    <t>Gozlenen DE Enerji</t>
  </si>
  <si>
    <t>E_obs</t>
  </si>
  <si>
    <t>Enerji Orani</t>
  </si>
  <si>
    <t>E_P/E_obs</t>
  </si>
  <si>
    <t>Log10(Enerji Orani)</t>
  </si>
  <si>
    <t>n_E</t>
  </si>
  <si>
    <t>rho ~ E^4 orani</t>
  </si>
  <si>
    <t>rho_P/rho_obs</t>
  </si>
  <si>
    <t>Log10(rho orani)</t>
  </si>
  <si>
    <t>N_Lambda</t>
  </si>
  <si>
    <t>123 mertebe</t>
  </si>
  <si>
    <t>UST DOF</t>
  </si>
  <si>
    <t>DOF</t>
  </si>
  <si>
    <t>Cl(1,3)+SU(1)</t>
  </si>
  <si>
    <t>Log10(17)</t>
  </si>
  <si>
    <t>log10(17)</t>
  </si>
  <si>
    <t>ITERASYON SAYISI</t>
  </si>
  <si>
    <t>n_iter</t>
  </si>
  <si>
    <t>SAYISAL DOGRULAMA</t>
  </si>
  <si>
    <t>(1/17)^100</t>
  </si>
  <si>
    <t>POWER(1/17,100)</t>
  </si>
  <si>
    <t>Log10[(1/17)^100]</t>
  </si>
  <si>
    <t>100*LOG10(1/17)</t>
  </si>
  <si>
    <t>Hedef</t>
  </si>
  <si>
    <t>Fark</t>
  </si>
  <si>
    <t>Uyum (%)</t>
  </si>
  <si>
    <t>FINAL SONUC</t>
  </si>
  <si>
    <t>Neden 17?</t>
  </si>
  <si>
    <t>Cl(1,3)+SU(1)=17</t>
  </si>
  <si>
    <t>TURETILDI</t>
  </si>
  <si>
    <t>Neden 100?</t>
  </si>
  <si>
    <t>123/log10(17)=100</t>
  </si>
  <si>
    <t>ANA FORMUL</t>
  </si>
  <si>
    <t>rho_obs = rho_P x (1/17)^100</t>
  </si>
  <si>
    <t>TAMAMLANDI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</si>
</sst>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9A74-00F7-43C8-9C53-6CF8265D9117}">
  <sheetPr codeName="Sayfa22"/>
  <dimension ref="A85:D110"/>
  <sheetViews>
    <sheetView tabSelected="1" topLeftCell="A82" workbookViewId="0">
      <selection activeCell="G108" sqref="G108"/>
    </sheetView>
  </sheetViews>
  <sheetFormatPr defaultRowHeight="15" x14ac:dyDescent="0.25"/>
  <cols>
    <col min="1" max="1" width="27.5703125" bestFit="1" customWidth="1"/>
    <col min="2" max="2" width="26.7109375" bestFit="1" customWidth="1"/>
    <col min="3" max="3" width="13.140625" bestFit="1" customWidth="1"/>
    <col min="4" max="4" width="12.42578125" bestFit="1" customWidth="1"/>
  </cols>
  <sheetData>
    <row r="85" spans="1:4" x14ac:dyDescent="0.25">
      <c r="A85" s="1" t="s">
        <v>0</v>
      </c>
    </row>
    <row r="87" spans="1:4" x14ac:dyDescent="0.25">
      <c r="A87" s="2" t="s">
        <v>1</v>
      </c>
    </row>
    <row r="88" spans="1:4" x14ac:dyDescent="0.25">
      <c r="A88" s="3" t="s">
        <v>2</v>
      </c>
      <c r="B88" s="3" t="s">
        <v>3</v>
      </c>
      <c r="C88" s="3" t="s">
        <v>4</v>
      </c>
      <c r="D88" s="3" t="s">
        <v>5</v>
      </c>
    </row>
    <row r="89" spans="1:4" x14ac:dyDescent="0.25">
      <c r="A89" t="s">
        <v>6</v>
      </c>
      <c r="B89" t="s">
        <v>7</v>
      </c>
      <c r="C89">
        <v>1.22E+19</v>
      </c>
      <c r="D89" t="s">
        <v>8</v>
      </c>
    </row>
    <row r="90" spans="1:4" x14ac:dyDescent="0.25">
      <c r="A90" t="s">
        <v>9</v>
      </c>
      <c r="B90" t="s">
        <v>10</v>
      </c>
      <c r="C90">
        <v>2.2999999999999999E-12</v>
      </c>
      <c r="D90" t="s">
        <v>8</v>
      </c>
    </row>
    <row r="91" spans="1:4" x14ac:dyDescent="0.25">
      <c r="A91" t="s">
        <v>11</v>
      </c>
      <c r="B91" t="s">
        <v>12</v>
      </c>
      <c r="C91">
        <f>C89/C90</f>
        <v>5.3043478260869568E+30</v>
      </c>
    </row>
    <row r="92" spans="1:4" x14ac:dyDescent="0.25">
      <c r="A92" t="s">
        <v>13</v>
      </c>
      <c r="B92" t="s">
        <v>14</v>
      </c>
      <c r="C92">
        <f>LOG10(C91)</f>
        <v>30.724631994657155</v>
      </c>
    </row>
    <row r="93" spans="1:4" x14ac:dyDescent="0.25">
      <c r="A93" t="s">
        <v>15</v>
      </c>
      <c r="B93" t="s">
        <v>16</v>
      </c>
      <c r="C93">
        <f>POWER(C91,4)</f>
        <v>7.9164045297150911E+122</v>
      </c>
    </row>
    <row r="94" spans="1:4" x14ac:dyDescent="0.25">
      <c r="A94" s="4" t="s">
        <v>17</v>
      </c>
      <c r="B94" s="4" t="s">
        <v>18</v>
      </c>
      <c r="C94" s="4">
        <f>LOG10(C93)</f>
        <v>122.89852797862862</v>
      </c>
      <c r="D94" s="4" t="s">
        <v>19</v>
      </c>
    </row>
    <row r="96" spans="1:4" x14ac:dyDescent="0.25">
      <c r="A96" t="s">
        <v>20</v>
      </c>
      <c r="B96" t="s">
        <v>21</v>
      </c>
      <c r="C96">
        <v>17</v>
      </c>
      <c r="D96" t="s">
        <v>22</v>
      </c>
    </row>
    <row r="97" spans="1:4" x14ac:dyDescent="0.25">
      <c r="A97" t="s">
        <v>23</v>
      </c>
      <c r="B97" t="s">
        <v>24</v>
      </c>
      <c r="C97">
        <f>LOG10(C96)</f>
        <v>1.2304489213782739</v>
      </c>
      <c r="D97">
        <v>1.2303999999999999</v>
      </c>
    </row>
    <row r="98" spans="1:4" x14ac:dyDescent="0.25">
      <c r="A98" s="5" t="s">
        <v>25</v>
      </c>
      <c r="B98" s="5" t="s">
        <v>26</v>
      </c>
      <c r="C98" s="5">
        <f>C94/C97</f>
        <v>99.881048163271316</v>
      </c>
      <c r="D98" s="5">
        <f xml:space="preserve"> 100</f>
        <v>100</v>
      </c>
    </row>
    <row r="100" spans="1:4" x14ac:dyDescent="0.25">
      <c r="A100" s="2" t="s">
        <v>27</v>
      </c>
    </row>
    <row r="101" spans="1:4" x14ac:dyDescent="0.25">
      <c r="A101" t="s">
        <v>28</v>
      </c>
      <c r="B101" t="s">
        <v>29</v>
      </c>
      <c r="C101">
        <f>POWER(1/17,100)</f>
        <v>9.0179508127261749E-124</v>
      </c>
    </row>
    <row r="102" spans="1:4" x14ac:dyDescent="0.25">
      <c r="A102" t="s">
        <v>30</v>
      </c>
      <c r="B102" t="s">
        <v>31</v>
      </c>
      <c r="C102">
        <f>100*LOG10(1/17)</f>
        <v>-123.04489213782739</v>
      </c>
    </row>
    <row r="103" spans="1:4" x14ac:dyDescent="0.25">
      <c r="A103" t="s">
        <v>32</v>
      </c>
      <c r="B103">
        <v>-123</v>
      </c>
      <c r="C103">
        <v>-123</v>
      </c>
    </row>
    <row r="104" spans="1:4" x14ac:dyDescent="0.25">
      <c r="A104" t="s">
        <v>33</v>
      </c>
      <c r="C104">
        <f>C102-C103</f>
        <v>-4.4892137827389433E-2</v>
      </c>
    </row>
    <row r="105" spans="1:4" x14ac:dyDescent="0.25">
      <c r="A105" s="6" t="s">
        <v>34</v>
      </c>
      <c r="B105" s="6"/>
      <c r="C105" s="6">
        <f>100-ABS(C104/C103)*100</f>
        <v>99.963502326969603</v>
      </c>
      <c r="D105" s="6"/>
    </row>
    <row r="107" spans="1:4" x14ac:dyDescent="0.25">
      <c r="A107" s="2" t="s">
        <v>35</v>
      </c>
    </row>
    <row r="108" spans="1:4" x14ac:dyDescent="0.25">
      <c r="A108" t="s">
        <v>36</v>
      </c>
      <c r="B108" t="s">
        <v>37</v>
      </c>
      <c r="C108" t="s">
        <v>38</v>
      </c>
    </row>
    <row r="109" spans="1:4" x14ac:dyDescent="0.25">
      <c r="A109" t="s">
        <v>39</v>
      </c>
      <c r="B109" t="s">
        <v>40</v>
      </c>
      <c r="C109" t="s">
        <v>38</v>
      </c>
    </row>
    <row r="110" spans="1:4" x14ac:dyDescent="0.25">
      <c r="A110" s="5" t="s">
        <v>41</v>
      </c>
      <c r="B110" s="5" t="s">
        <v>42</v>
      </c>
      <c r="C110" s="5" t="s">
        <v>43</v>
      </c>
      <c r="D1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RG-100-Turetim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2026-04-23T11:00:29Z</dcterms:created>
  <dcterms:modified xsi:type="dcterms:W3CDTF">2026-04-23T11:00:29Z</dcterms:modified>
</cp:coreProperties>
</file>