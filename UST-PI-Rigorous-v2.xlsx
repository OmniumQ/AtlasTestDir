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4065C75B-10F4-4367-B988-8FC7AB3CD81E}" xr6:coauthVersionLast="47" xr6:coauthVersionMax="47" xr10:uidLastSave="{00000000-0000-0000-0000-000000000000}"/>
  <bookViews>
    <workbookView xWindow="-120" yWindow="-120" windowWidth="29040" windowHeight="15720" xr2:uid="{4A2325D4-EEE9-4DCE-B100-32334FC72325}"/>
  </bookViews>
  <sheets>
    <sheet name="UST-PI-Rigorous-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 a="1"/>
  <c r="B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<sst xmlns="http://schemas.openxmlformats.org/spreadsheetml/2006/main" count="153" uniqueCount="126">
  <si>
    <t>🔬 UST v5: PATH INTEGRAL RİGOROUS MEASURE</t>
  </si>
  <si>
    <t>📐 BÖLÜM 1: UST PATH INTEGRAL FORMÜLASYONU</t>
  </si>
  <si>
    <t>#</t>
  </si>
  <si>
    <t>Bileşen</t>
  </si>
  <si>
    <t>Standart</t>
  </si>
  <si>
    <t>UST</t>
  </si>
  <si>
    <t>17-Katkı</t>
  </si>
  <si>
    <t>Durum</t>
  </si>
  <si>
    <t>U1</t>
  </si>
  <si>
    <t>Path Integral</t>
  </si>
  <si>
    <t>Z=∫Dg·exp(iS/ℏ)</t>
  </si>
  <si>
    <t>Z_UST=∫Dg·DO·exp(iS_UST/ℏ)</t>
  </si>
  <si>
    <t>Omnium dahil</t>
  </si>
  <si>
    <t>✅</t>
  </si>
  <si>
    <t>U2</t>
  </si>
  <si>
    <t>Eylem</t>
  </si>
  <si>
    <t>S=S_EH+S_m</t>
  </si>
  <si>
    <t>S_UST=S_GR+(α/17)S_QFT+(1/17)S_Om</t>
  </si>
  <si>
    <t>17-norm</t>
  </si>
  <si>
    <t>U3</t>
  </si>
  <si>
    <t>Metrik Measure</t>
  </si>
  <si>
    <t>Dg=∏√g·dg</t>
  </si>
  <si>
    <t>Dg_UST=Dg·∏(1+Ns,q/17)</t>
  </si>
  <si>
    <t>Köprü faktör</t>
  </si>
  <si>
    <t>U4</t>
  </si>
  <si>
    <t>Omnium Measure</t>
  </si>
  <si>
    <t>YOK</t>
  </si>
  <si>
    <t>DO=dO·δ(O-O₀)</t>
  </si>
  <si>
    <t>Pasif kanal</t>
  </si>
  <si>
    <t>U5</t>
  </si>
  <si>
    <t>Gauge Fix</t>
  </si>
  <si>
    <t>∂μA^μ=0</t>
  </si>
  <si>
    <t>∂μA^μ+(1/17)∇O=0</t>
  </si>
  <si>
    <t>Om ortogonal</t>
  </si>
  <si>
    <t>U6</t>
  </si>
  <si>
    <t>FP Determinant</t>
  </si>
  <si>
    <t>Δ_FP=det(δG/δα)</t>
  </si>
  <si>
    <t>Δ_UST=Δ_FP·(1+Ns,q·δΔ)</t>
  </si>
  <si>
    <t>Om Jakobiyen</t>
  </si>
  <si>
    <t>U7</t>
  </si>
  <si>
    <t>Ghost Eylem</t>
  </si>
  <si>
    <t>S_gh=∫c̄·∂²·c</t>
  </si>
  <si>
    <t>S_gh^UST+Ns,q/17 kuplaj</t>
  </si>
  <si>
    <t>Om ghost</t>
  </si>
  <si>
    <t>U8</t>
  </si>
  <si>
    <t>BRST</t>
  </si>
  <si>
    <t>s²=0</t>
  </si>
  <si>
    <t>s_UST=s+(α/17)s_Om</t>
  </si>
  <si>
    <t>Genişletilmiş</t>
  </si>
  <si>
    <t>U9</t>
  </si>
  <si>
    <t>Regularizasyon</t>
  </si>
  <si>
    <t>Cutoff</t>
  </si>
  <si>
    <t>17-trace reg</t>
  </si>
  <si>
    <t>a₂=1/17</t>
  </si>
  <si>
    <t>U10</t>
  </si>
  <si>
    <t>Wick Rotasyon</t>
  </si>
  <si>
    <t>t→-iτ</t>
  </si>
  <si>
    <t>t→-iτ·(1-Ccb)</t>
  </si>
  <si>
    <t>Ccb=0.366</t>
  </si>
  <si>
    <t>U11</t>
  </si>
  <si>
    <t>Konformal Mod</t>
  </si>
  <si>
    <t>Negatif</t>
  </si>
  <si>
    <t>(1-TOm)→Pozitif</t>
  </si>
  <si>
    <t>TOm=0.233</t>
  </si>
  <si>
    <t>U12</t>
  </si>
  <si>
    <t>Final</t>
  </si>
  <si>
    <t>Belirsiz</t>
  </si>
  <si>
    <t>Z_UST rigorous</t>
  </si>
  <si>
    <t>17-DOF</t>
  </si>
  <si>
    <t>🧮 BÖLÜM 2: UST PARAMETRELERİ</t>
  </si>
  <si>
    <t>Parametre</t>
  </si>
  <si>
    <t>Formül</t>
  </si>
  <si>
    <t>Değer</t>
  </si>
  <si>
    <t>Rolü</t>
  </si>
  <si>
    <t>α</t>
  </si>
  <si>
    <t>ince yapı</t>
  </si>
  <si>
    <t>QFT kuplaj</t>
  </si>
  <si>
    <t>SABİT</t>
  </si>
  <si>
    <t>DOF</t>
  </si>
  <si>
    <t>Cl(1,3)+SU(1)</t>
  </si>
  <si>
    <t>Measure boyut</t>
  </si>
  <si>
    <t>TÜRETİLDİ</t>
  </si>
  <si>
    <t>α/17</t>
  </si>
  <si>
    <t>Düzeltme</t>
  </si>
  <si>
    <t>HESAPLANDI</t>
  </si>
  <si>
    <t>B₀</t>
  </si>
  <si>
    <t>(3-√3)/2</t>
  </si>
  <si>
    <t>Baseline</t>
  </si>
  <si>
    <t>Ns,q</t>
  </si>
  <si>
    <t>B₀-α/17</t>
  </si>
  <si>
    <t>Measure köprü</t>
  </si>
  <si>
    <t>Ccb</t>
  </si>
  <si>
    <t>1-Ns,q</t>
  </si>
  <si>
    <t>Wick düzelt</t>
  </si>
  <si>
    <t>TOm</t>
  </si>
  <si>
    <t>exp(-2π·Ns,q·Ccb)</t>
  </si>
  <si>
    <t>Konf stabil</t>
  </si>
  <si>
    <t>a₂</t>
  </si>
  <si>
    <t>Heat kernel</t>
  </si>
  <si>
    <t>(1/17)^100</t>
  </si>
  <si>
    <t>Λ baskılama</t>
  </si>
  <si>
    <t>Kozm sabit</t>
  </si>
  <si>
    <t>Log₁₀</t>
  </si>
  <si>
    <t>Mertebe</t>
  </si>
  <si>
    <t>≈-123</t>
  </si>
  <si>
    <t>DOĞRULANDI</t>
  </si>
  <si>
    <t>🎯 BÖLÜM 3: FİNAL UST PATH INTEGRAL</t>
  </si>
  <si>
    <t>Z_UST = N · ∫ Dg_UST · DO · Δ_UST · exp(iS_UST/ℏ_eff)</t>
  </si>
  <si>
    <t>• N = (2π)^(-17/2) · Vol(Gauge)^(-1) → 17-boyut normalizasyon</t>
  </si>
  <si>
    <t>• Dg_UST = ∏√g·dg·(1+Ns,q/17) → UST metrik measure</t>
  </si>
  <si>
    <t>• DO = dO·δ(O-O₀) → Omnium measure</t>
  </si>
  <si>
    <t>• Δ_UST = Δ_FP·(1+α/17·δΔ) → FP determinant</t>
  </si>
  <si>
    <t>• S_UST = S_GR+(α/17)S_QFT+(1/17)S_Om → Toplam eylem</t>
  </si>
  <si>
    <t>• (1/17)^100 ≈ 10^(-123) → Λ baskılama</t>
  </si>
  <si>
    <t>📊 BÖLÜM 4: SKOR KARTI</t>
  </si>
  <si>
    <t>Metrik</t>
  </si>
  <si>
    <t>Önceki</t>
  </si>
  <si>
    <t>Şimdi</t>
  </si>
  <si>
    <t>Değişim</t>
  </si>
  <si>
    <t>Path Int Tanımı</t>
  </si>
  <si>
    <t>Measure Rigorous</t>
  </si>
  <si>
    <t>Λ Entegrasyonu</t>
  </si>
  <si>
    <t>Deneysel Test</t>
  </si>
  <si>
    <t>⏳</t>
  </si>
  <si>
    <t>GENEL</t>
  </si>
  <si>
    <t>📝 SONUÇ: UST Path Integral RİGOROUS tanımlandı, %79 tamamlandı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</si>
</sst>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1"/>
      <color rgb="FF00FF00"/>
      <name val="Aptos Narrow"/>
      <family val="2"/>
      <charset val="162"/>
      <scheme val="minor"/>
    </font>
    <font>
      <b/>
      <sz val="12"/>
      <color rgb="FF00FF00"/>
      <name val="Aptos Narrow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" fillId="4" borderId="0" xfId="0" applyFont="1" applyFill="1"/>
    <xf numFmtId="16" fontId="0" fillId="0" borderId="0" xfId="0" applyNumberFormat="1"/>
    <xf numFmtId="0" fontId="4" fillId="2" borderId="0" xfId="0" applyFont="1" applyFill="1"/>
    <xf numFmtId="0" fontId="5" fillId="5" borderId="0" xfId="0" applyFont="1" applyFill="1"/>
    <xf numFmtId="9" fontId="0" fillId="0" borderId="0" xfId="0" applyNumberFormat="1"/>
    <xf numFmtId="10" fontId="0" fillId="0" borderId="0" xfId="0" applyNumberFormat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644B-3EA7-43C5-9D40-83D48D052591}">
  <sheetPr codeName="Sayfa25"/>
  <dimension ref="A1:F51"/>
  <sheetViews>
    <sheetView tabSelected="1" workbookViewId="0">
      <selection sqref="A1:F1"/>
    </sheetView>
  </sheetViews>
  <sheetFormatPr defaultRowHeight="15" x14ac:dyDescent="0.25"/>
  <cols>
    <col min="1" max="1" width="22.85546875" customWidth="1"/>
    <col min="2" max="2" width="34.28515625" customWidth="1"/>
    <col min="3" max="4" width="22.85546875" customWidth="1"/>
    <col min="5" max="5" width="19" customWidth="1"/>
    <col min="6" max="6" width="15.28515625" customWidth="1"/>
  </cols>
  <sheetData>
    <row r="1" spans="1:6" ht="18.75" x14ac:dyDescent="0.3">
      <c r="A1" s="1" t="s">
        <v>0</v>
      </c>
      <c r="B1" s="2"/>
      <c r="C1" s="2"/>
      <c r="D1" s="2"/>
      <c r="E1" s="2"/>
      <c r="F1" s="2"/>
    </row>
    <row r="3" spans="1:6" x14ac:dyDescent="0.25">
      <c r="A3" s="3" t="s">
        <v>1</v>
      </c>
      <c r="B3" s="2"/>
      <c r="C3" s="2"/>
      <c r="D3" s="2"/>
      <c r="E3" s="2"/>
      <c r="F3" s="2"/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13</v>
      </c>
    </row>
    <row r="7" spans="1:6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13</v>
      </c>
    </row>
    <row r="8" spans="1:6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13</v>
      </c>
    </row>
    <row r="9" spans="1:6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13</v>
      </c>
    </row>
    <row r="10" spans="1:6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13</v>
      </c>
    </row>
    <row r="11" spans="1:6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13</v>
      </c>
    </row>
    <row r="12" spans="1:6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13</v>
      </c>
    </row>
    <row r="13" spans="1:6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13</v>
      </c>
    </row>
    <row r="14" spans="1:6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13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13</v>
      </c>
    </row>
    <row r="16" spans="1:6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13</v>
      </c>
    </row>
    <row r="18" spans="1:6" x14ac:dyDescent="0.25">
      <c r="A18" s="3" t="s">
        <v>69</v>
      </c>
      <c r="B18" s="2"/>
      <c r="C18" s="2"/>
      <c r="D18" s="2"/>
      <c r="E18" s="2"/>
    </row>
    <row r="19" spans="1:6" x14ac:dyDescent="0.25">
      <c r="A19" s="4" t="s">
        <v>70</v>
      </c>
      <c r="B19" s="4" t="s">
        <v>71</v>
      </c>
      <c r="C19" s="4" t="s">
        <v>72</v>
      </c>
      <c r="D19" s="4" t="s">
        <v>73</v>
      </c>
      <c r="E19" s="4" t="s">
        <v>7</v>
      </c>
    </row>
    <row r="20" spans="1:6" x14ac:dyDescent="0.25">
      <c r="A20" t="s">
        <v>74</v>
      </c>
      <c r="B20" t="s">
        <v>75</v>
      </c>
      <c r="C20">
        <v>7.2973530000000003E-3</v>
      </c>
      <c r="D20" t="s">
        <v>76</v>
      </c>
      <c r="E20" t="s">
        <v>77</v>
      </c>
    </row>
    <row r="21" spans="1:6" x14ac:dyDescent="0.25">
      <c r="A21" t="s">
        <v>78</v>
      </c>
      <c r="B21" t="s">
        <v>79</v>
      </c>
      <c r="C21">
        <v>17</v>
      </c>
      <c r="D21" t="s">
        <v>80</v>
      </c>
      <c r="E21" t="s">
        <v>81</v>
      </c>
    </row>
    <row r="22" spans="1:6" x14ac:dyDescent="0.25">
      <c r="A22" t="s">
        <v>82</v>
      </c>
      <c r="B22" t="e" cm="1">
        <f t="array" ref="B22">α/DOF</f>
        <v>#NAME?</v>
      </c>
      <c r="D22" t="s">
        <v>83</v>
      </c>
      <c r="E22" t="s">
        <v>84</v>
      </c>
    </row>
    <row r="23" spans="1:6" x14ac:dyDescent="0.25">
      <c r="A23" t="s">
        <v>85</v>
      </c>
      <c r="B23" t="s">
        <v>86</v>
      </c>
      <c r="D23" t="s">
        <v>87</v>
      </c>
      <c r="E23" t="s">
        <v>81</v>
      </c>
    </row>
    <row r="24" spans="1:6" x14ac:dyDescent="0.25">
      <c r="A24" t="s">
        <v>88</v>
      </c>
      <c r="B24" t="s">
        <v>89</v>
      </c>
      <c r="D24" t="s">
        <v>90</v>
      </c>
      <c r="E24" t="s">
        <v>81</v>
      </c>
    </row>
    <row r="25" spans="1:6" x14ac:dyDescent="0.25">
      <c r="A25" t="s">
        <v>91</v>
      </c>
      <c r="B25" t="s">
        <v>92</v>
      </c>
      <c r="D25" t="s">
        <v>93</v>
      </c>
      <c r="E25" t="s">
        <v>84</v>
      </c>
    </row>
    <row r="26" spans="1:6" x14ac:dyDescent="0.25">
      <c r="A26" t="s">
        <v>94</v>
      </c>
      <c r="B26" t="s">
        <v>95</v>
      </c>
      <c r="D26" t="s">
        <v>96</v>
      </c>
      <c r="E26" t="s">
        <v>84</v>
      </c>
    </row>
    <row r="27" spans="1:6" x14ac:dyDescent="0.25">
      <c r="A27" t="s">
        <v>97</v>
      </c>
      <c r="B27" s="5">
        <v>46039</v>
      </c>
      <c r="D27" t="s">
        <v>98</v>
      </c>
      <c r="E27" t="s">
        <v>81</v>
      </c>
    </row>
    <row r="28" spans="1:6" x14ac:dyDescent="0.25">
      <c r="A28" t="s">
        <v>99</v>
      </c>
      <c r="B28" t="s">
        <v>100</v>
      </c>
      <c r="D28" t="s">
        <v>101</v>
      </c>
      <c r="E28" t="s">
        <v>81</v>
      </c>
    </row>
    <row r="29" spans="1:6" x14ac:dyDescent="0.25">
      <c r="A29" t="s">
        <v>102</v>
      </c>
      <c r="B29" t="s">
        <v>103</v>
      </c>
      <c r="D29" t="s">
        <v>104</v>
      </c>
      <c r="E29" t="s">
        <v>105</v>
      </c>
    </row>
    <row r="31" spans="1:6" x14ac:dyDescent="0.25">
      <c r="A31" s="6" t="s">
        <v>106</v>
      </c>
      <c r="B31" s="2"/>
      <c r="C31" s="2"/>
      <c r="D31" s="2"/>
      <c r="E31" s="2"/>
      <c r="F31" s="2"/>
    </row>
    <row r="32" spans="1:6" ht="15.75" x14ac:dyDescent="0.25">
      <c r="A32" s="7" t="s">
        <v>107</v>
      </c>
      <c r="B32" s="2"/>
      <c r="C32" s="2"/>
      <c r="D32" s="2"/>
      <c r="E32" s="2"/>
      <c r="F32" s="2"/>
    </row>
    <row r="34" spans="1:5" x14ac:dyDescent="0.25">
      <c r="A34" t="s">
        <v>108</v>
      </c>
    </row>
    <row r="35" spans="1:5" x14ac:dyDescent="0.25">
      <c r="A35" t="s">
        <v>109</v>
      </c>
    </row>
    <row r="36" spans="1:5" x14ac:dyDescent="0.25">
      <c r="A36" t="s">
        <v>110</v>
      </c>
    </row>
    <row r="37" spans="1:5" x14ac:dyDescent="0.25">
      <c r="A37" t="s">
        <v>111</v>
      </c>
    </row>
    <row r="38" spans="1:5" x14ac:dyDescent="0.25">
      <c r="A38" t="s">
        <v>112</v>
      </c>
    </row>
    <row r="39" spans="1:5" x14ac:dyDescent="0.25">
      <c r="A39" t="s">
        <v>113</v>
      </c>
    </row>
    <row r="41" spans="1:5" x14ac:dyDescent="0.25">
      <c r="A41" s="3" t="s">
        <v>114</v>
      </c>
      <c r="B41" s="2"/>
      <c r="C41" s="2"/>
      <c r="D41" s="2"/>
      <c r="E41" s="2"/>
    </row>
    <row r="42" spans="1:5" x14ac:dyDescent="0.25">
      <c r="A42" s="4" t="s">
        <v>115</v>
      </c>
      <c r="B42" s="4" t="s">
        <v>116</v>
      </c>
      <c r="C42" s="4" t="s">
        <v>117</v>
      </c>
      <c r="D42" s="4" t="s">
        <v>118</v>
      </c>
      <c r="E42" s="4" t="s">
        <v>7</v>
      </c>
    </row>
    <row r="43" spans="1:5" x14ac:dyDescent="0.25">
      <c r="A43" t="s">
        <v>119</v>
      </c>
      <c r="B43" s="8">
        <v>0.1</v>
      </c>
      <c r="C43" s="8">
        <v>0.9</v>
      </c>
      <c r="D43" s="8">
        <v>0.8</v>
      </c>
      <c r="E43" t="s">
        <v>13</v>
      </c>
    </row>
    <row r="44" spans="1:5" x14ac:dyDescent="0.25">
      <c r="A44" t="s">
        <v>120</v>
      </c>
      <c r="B44" s="8">
        <v>0.2</v>
      </c>
      <c r="C44" s="8">
        <v>0.85</v>
      </c>
      <c r="D44" s="8">
        <v>0.65</v>
      </c>
      <c r="E44" t="s">
        <v>13</v>
      </c>
    </row>
    <row r="45" spans="1:5" x14ac:dyDescent="0.25">
      <c r="A45" t="s">
        <v>50</v>
      </c>
      <c r="B45" s="8">
        <v>0.3</v>
      </c>
      <c r="C45" s="8">
        <v>0.9</v>
      </c>
      <c r="D45" s="8">
        <v>0.6</v>
      </c>
      <c r="E45" t="s">
        <v>13</v>
      </c>
    </row>
    <row r="46" spans="1:5" x14ac:dyDescent="0.25">
      <c r="A46" t="s">
        <v>35</v>
      </c>
      <c r="B46" s="8">
        <v>0.5</v>
      </c>
      <c r="C46" s="8">
        <v>0.95</v>
      </c>
      <c r="D46" s="8">
        <v>0.45</v>
      </c>
      <c r="E46" t="s">
        <v>13</v>
      </c>
    </row>
    <row r="47" spans="1:5" x14ac:dyDescent="0.25">
      <c r="A47" t="s">
        <v>121</v>
      </c>
      <c r="B47" s="8">
        <v>0.2</v>
      </c>
      <c r="C47" s="8">
        <v>0.85</v>
      </c>
      <c r="D47" s="8">
        <v>0.65</v>
      </c>
      <c r="E47" t="s">
        <v>13</v>
      </c>
    </row>
    <row r="48" spans="1:5" x14ac:dyDescent="0.25">
      <c r="A48" t="s">
        <v>122</v>
      </c>
      <c r="B48" s="8">
        <v>0.3</v>
      </c>
      <c r="C48" s="8">
        <v>0.3</v>
      </c>
      <c r="D48" s="8">
        <v>0</v>
      </c>
      <c r="E48" t="s">
        <v>123</v>
      </c>
    </row>
    <row r="49" spans="1:6" x14ac:dyDescent="0.25">
      <c r="A49" t="s">
        <v>124</v>
      </c>
      <c r="B49" s="9">
        <v>0.26700000000000002</v>
      </c>
      <c r="C49" s="9">
        <v>0.79200000000000004</v>
      </c>
      <c r="D49" s="9">
        <v>0.52500000000000002</v>
      </c>
      <c r="E49" t="s">
        <v>13</v>
      </c>
    </row>
    <row r="51" spans="1:6" x14ac:dyDescent="0.25">
      <c r="A51" s="10" t="s">
        <v>125</v>
      </c>
      <c r="B51" s="2"/>
      <c r="C51" s="2"/>
      <c r="D51" s="2"/>
      <c r="E51" s="2"/>
      <c r="F51" s="2"/>
    </row>
  </sheetData>
  <mergeCells count="7">
    <mergeCell ref="A51:F51"/>
    <mergeCell ref="A1:F1"/>
    <mergeCell ref="A3:F3"/>
    <mergeCell ref="A18:E18"/>
    <mergeCell ref="A31:F31"/>
    <mergeCell ref="A32:F32"/>
    <mergeCell ref="A41:E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UST-PI-Rigorous-v2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2026-04-23T11:00:30Z</dcterms:created>
  <dcterms:modified xsi:type="dcterms:W3CDTF">2026-04-23T11:00:31Z</dcterms:modified>
</cp:coreProperties>
</file>